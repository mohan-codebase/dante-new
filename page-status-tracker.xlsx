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ge Status" sheetId="1" state="visible" r:id="rId3"/>
  </sheets>
  <definedNames>
    <definedName function="false" hidden="true" localSheetId="0" name="_xlnm._FilterDatabase" vbProcedure="false">'Page Status'!$A$1:$L$63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<sst xmlns="http://schemas.openxmlformats.org/spreadsheetml/2006/main" count="694" uniqueCount="301">
  <si>
    <t xml:space="preserve">#</t>
  </si>
  <si>
    <t xml:space="preserve">Page Name</t>
  </si>
  <si>
    <t xml:space="preserve">Section</t>
  </si>
  <si>
    <t xml:space="preserve">Local File</t>
  </si>
  <si>
    <t xml:space="preserve">Target Live URL</t>
  </si>
  <si>
    <t xml:space="preserve">Built Locally</t>
  </si>
  <si>
    <t xml:space="preserve">New Build Live</t>
  </si>
  <si>
    <t xml:space="preserve">Old Page Live</t>
  </si>
  <si>
    <t xml:space="preserve">Deploy Batch</t>
  </si>
  <si>
    <t xml:space="preserve">Legacy .php URL</t>
  </si>
  <si>
    <t xml:space="preserve">Page Title (SEO)</t>
  </si>
  <si>
    <t xml:space="preserve">Notes</t>
  </si>
  <si>
    <t xml:space="preserve">Home</t>
  </si>
  <si>
    <t xml:space="preserve">Main</t>
  </si>
  <si>
    <t xml:space="preserve">index.html</t>
  </si>
  <si>
    <t xml:space="preserve">https://www.drdantegonzales.com/</t>
  </si>
  <si>
    <t xml:space="preserve">Yes</t>
  </si>
  <si>
    <t xml:space="preserve">No</t>
  </si>
  <si>
    <t xml:space="preserve">Batch 1</t>
  </si>
  <si>
    <t xml:space="preserve">https://www.drdantegonzales.com/index.php</t>
  </si>
  <si>
    <t xml:space="preserve">Orthodontist in Dublin &amp; Tracy, CA | Braces &amp; Invisalign | Dante Gonzales Orthodontics</t>
  </si>
  <si>
    <t xml:space="preserve">Staged in dist-partial/, not yet uploaded.</t>
  </si>
  <si>
    <t xml:space="preserve">About Us / Dublin Office</t>
  </si>
  <si>
    <t xml:space="preserve">dublin-california-ca-orthodontics-office.html</t>
  </si>
  <si>
    <t xml:space="preserve">https://www.drdantegonzales.com/dublin-california-ca-orthodontics-office.html</t>
  </si>
  <si>
    <t xml:space="preserve">Not scheduled</t>
  </si>
  <si>
    <t xml:space="preserve">https://www.drdantegonzales.com/dublin-california-ca-orthodontics-office.php</t>
  </si>
  <si>
    <t xml:space="preserve">Orthodontics Office in Dublin CA | Dante Gonzales</t>
  </si>
  <si>
    <t xml:space="preserve">Old .php still serving this URL.</t>
  </si>
  <si>
    <t xml:space="preserve">Meet Our Founder</t>
  </si>
  <si>
    <t xml:space="preserve">about.html</t>
  </si>
  <si>
    <t xml:space="preserve">https://www.drdantegonzales.com/about.html</t>
  </si>
  <si>
    <t xml:space="preserve">https://www.drdantegonzales.com/about.php</t>
  </si>
  <si>
    <t xml:space="preserve">About Dante Gonzales Orthodontics – Dublin &amp; Tracy</t>
  </si>
  <si>
    <t xml:space="preserve">Meet Our Orthodontists</t>
  </si>
  <si>
    <t xml:space="preserve">meet-our-orthodontists-in-dublin-ca.html</t>
  </si>
  <si>
    <t xml:space="preserve">https://www.drdantegonzales.com/meet-our-orthodontists-in-dublin-ca.html</t>
  </si>
  <si>
    <t xml:space="preserve">https://www.drdantegonzales.com/meet-our-orthodontists-in-dublin-ca.php</t>
  </si>
  <si>
    <t xml:space="preserve">Top Orthodontists in Dublin: Dante Gonzales</t>
  </si>
  <si>
    <t xml:space="preserve">Meet Our Dublin Team</t>
  </si>
  <si>
    <t xml:space="preserve">meet-our-orthodontics-team.html</t>
  </si>
  <si>
    <t xml:space="preserve">https://www.drdantegonzales.com/meet-our-orthodontics-team.html</t>
  </si>
  <si>
    <t xml:space="preserve">https://www.drdantegonzales.com/meet-our-orthodontics-team.php</t>
  </si>
  <si>
    <t xml:space="preserve">Meet Our Dublin Orthodontics Team | Dante Gonzales</t>
  </si>
  <si>
    <t xml:space="preserve">Meet Our Tracy Team</t>
  </si>
  <si>
    <t xml:space="preserve">meet-the-tracy-orthodontics-team.html</t>
  </si>
  <si>
    <t xml:space="preserve">https://www.drdantegonzales.com/meet-the-tracy-orthodontics-team.html</t>
  </si>
  <si>
    <t xml:space="preserve">https://www.drdantegonzales.com/meet-the-tracy-orthodontics-team.php</t>
  </si>
  <si>
    <t xml:space="preserve">Meet the Tracy, CA Orthodontics Team: Dante Gonzales</t>
  </si>
  <si>
    <t xml:space="preserve">Braces &amp; Invisalign (hub)</t>
  </si>
  <si>
    <t xml:space="preserve">dublin-california-ca-braces-orthodontics-and-invisalign.html</t>
  </si>
  <si>
    <t xml:space="preserve">https://www.drdantegonzales.com/dublin-california-ca-braces-orthodontics-and-invisalign.html</t>
  </si>
  <si>
    <t xml:space="preserve">https://www.drdantegonzales.com/dublin-california-ca-braces-orthodontics-and-invisalign.php</t>
  </si>
  <si>
    <t xml:space="preserve">Best Orthodontist for Invisalign &amp; Braces - Dublin &amp; Tracy</t>
  </si>
  <si>
    <t xml:space="preserve">Invisalign</t>
  </si>
  <si>
    <t xml:space="preserve">invisalign.html</t>
  </si>
  <si>
    <t xml:space="preserve">https://www.drdantegonzales.com/invisalign.html</t>
  </si>
  <si>
    <t xml:space="preserve">https://www.drdantegonzales.com/invisalign.php</t>
  </si>
  <si>
    <t xml:space="preserve">Best Invisalign provider in Dublin &amp; Tracy-Dr.Dante Gonzales</t>
  </si>
  <si>
    <t xml:space="preserve">Invisalign Teen</t>
  </si>
  <si>
    <t xml:space="preserve">elite-invisalign-and-invisalign-teen-orthodontist.html</t>
  </si>
  <si>
    <t xml:space="preserve">https://www.drdantegonzales.com/elite-invisalign-and-invisalign-teen-orthodontist.html</t>
  </si>
  <si>
    <t xml:space="preserve">https://www.drdantegonzales.com/elite-invisalign-and-invisalign-teen-orthodontist.php</t>
  </si>
  <si>
    <t xml:space="preserve">Braces</t>
  </si>
  <si>
    <t xml:space="preserve">braces.html</t>
  </si>
  <si>
    <t xml:space="preserve">https://www.drdantegonzales.com/braces.html</t>
  </si>
  <si>
    <t xml:space="preserve">https://www.drdantegonzales.com/braces.php</t>
  </si>
  <si>
    <t xml:space="preserve">Traditional metal braces &amp; ceramic braces in Dublin &amp; Tracy</t>
  </si>
  <si>
    <t xml:space="preserve">Braces in Dublin CA</t>
  </si>
  <si>
    <t xml:space="preserve">braces-in-dublin-ca.html</t>
  </si>
  <si>
    <t xml:space="preserve">https://www.drdantegonzales.com/braces-in-dublin-ca.html</t>
  </si>
  <si>
    <t xml:space="preserve">https://www.drdantegonzales.com/braces-in-dublin-ca.php</t>
  </si>
  <si>
    <t xml:space="preserve">Braces in Dublin CA | Dr Dante Gonzales Orthodontics</t>
  </si>
  <si>
    <t xml:space="preserve">Braces in Tracy CA</t>
  </si>
  <si>
    <t xml:space="preserve">braces-in-tracy-ca.html</t>
  </si>
  <si>
    <t xml:space="preserve">https://www.drdantegonzales.com/braces-in-tracy-ca.html</t>
  </si>
  <si>
    <t xml:space="preserve">https://www.drdantegonzales.com/braces-in-tracy-ca.php</t>
  </si>
  <si>
    <t xml:space="preserve">Braces in Tracy CA | Adult &amp; Teen Braces – Dr Dante Gonzales</t>
  </si>
  <si>
    <t xml:space="preserve">Accelerated Treatment</t>
  </si>
  <si>
    <t xml:space="preserve">accelerated-treatment.html</t>
  </si>
  <si>
    <t xml:space="preserve">https://www.drdantegonzales.com/accelerated-treatment.html</t>
  </si>
  <si>
    <t xml:space="preserve">https://www.drdantegonzales.com/accelerated-treatment.php</t>
  </si>
  <si>
    <t xml:space="preserve">Get your orthodontics treatment with the best orthodontist</t>
  </si>
  <si>
    <t xml:space="preserve">Surgical Orthodontist</t>
  </si>
  <si>
    <t xml:space="preserve">surgical-orthodontist.html</t>
  </si>
  <si>
    <t xml:space="preserve">https://www.drdantegonzales.com/surgical-orthodontist.html</t>
  </si>
  <si>
    <t xml:space="preserve">https://www.drdantegonzales.com/surgical-orthodontist.php</t>
  </si>
  <si>
    <t xml:space="preserve">Expert Surgical Orthodontist | Dante Gonzales</t>
  </si>
  <si>
    <t xml:space="preserve">Surgical Orthodontics</t>
  </si>
  <si>
    <t xml:space="preserve">surgical-orthodontics.html</t>
  </si>
  <si>
    <t xml:space="preserve">https://www.drdantegonzales.com/surgical-orthodontics.html</t>
  </si>
  <si>
    <t xml:space="preserve">https://www.drdantegonzales.com/surgical-orthodontics.php</t>
  </si>
  <si>
    <t xml:space="preserve">Best Surgical orthodontics for Jaw Alignment in Dublin &amp; Tracy</t>
  </si>
  <si>
    <t xml:space="preserve">Sleep Apnea Treatment (hub)</t>
  </si>
  <si>
    <t xml:space="preserve">sleep-apnea-specialist-dublin-california-ca.html</t>
  </si>
  <si>
    <t xml:space="preserve">https://www.drdantegonzales.com/sleep-apnea-specialist-dublin-california-ca.html</t>
  </si>
  <si>
    <t xml:space="preserve">https://www.drdantegonzales.com/sleep-apnea-specialist-dublin-california-ca.php</t>
  </si>
  <si>
    <t xml:space="preserve">Best sleep apnea treatment near Dublin &amp; Tracy</t>
  </si>
  <si>
    <t xml:space="preserve">Sleep Apnea Dentist - Dublin</t>
  </si>
  <si>
    <t xml:space="preserve">sleep-apnea-dentist-in-dublin.html</t>
  </si>
  <si>
    <t xml:space="preserve">https://www.drdantegonzales.com/sleep-apnea-dentist-in-dublin.html</t>
  </si>
  <si>
    <t xml:space="preserve">https://www.drdantegonzales.com/sleep-apnea-dentist-in-dublin.php</t>
  </si>
  <si>
    <t xml:space="preserve">Sleep Apnea Dentist in Dublin | Dr Dante Gonzales</t>
  </si>
  <si>
    <t xml:space="preserve">Sleep Apnea Treatment - Tracy</t>
  </si>
  <si>
    <t xml:space="preserve">sleep-apnea-treatment-tracy.html</t>
  </si>
  <si>
    <t xml:space="preserve">https://www.drdantegonzales.com/sleep-apnea-treatment-tracy.html</t>
  </si>
  <si>
    <t xml:space="preserve">https://www.drdantegonzales.com/sleep-apnea-treatment-tracy.php</t>
  </si>
  <si>
    <t xml:space="preserve">Sleep Apnea Treatment Tracy CA | Dante Gonzales</t>
  </si>
  <si>
    <t xml:space="preserve">Why Dante Gonzales Orthodontics</t>
  </si>
  <si>
    <t xml:space="preserve">best-dublin-ca-orthodontics-office-and-orthodontist.html</t>
  </si>
  <si>
    <t xml:space="preserve">https://www.drdantegonzales.com/best-dublin-ca-orthodontics-office-and-orthodontist.html</t>
  </si>
  <si>
    <t xml:space="preserve">https://www.drdantegonzales.com/best-dublin-ca-orthodontics-office-and-orthodontist.php</t>
  </si>
  <si>
    <t xml:space="preserve">5- Star Rated Dublin Orthodontist: Dante Gonzales</t>
  </si>
  <si>
    <t xml:space="preserve">Before &amp; Afters</t>
  </si>
  <si>
    <t xml:space="preserve">before-after.html</t>
  </si>
  <si>
    <t xml:space="preserve">https://www.drdantegonzales.com/before-after.html</t>
  </si>
  <si>
    <t xml:space="preserve">https://www.drdantegonzales.com/before-after.php</t>
  </si>
  <si>
    <t xml:space="preserve">Smile Before &amp; After Photos | Invasalign : Dante Gonzales</t>
  </si>
  <si>
    <t xml:space="preserve">Invisalign Quiz</t>
  </si>
  <si>
    <t xml:space="preserve">invisalign-quiz.html</t>
  </si>
  <si>
    <t xml:space="preserve">https://www.drdantegonzales.com/invisalign-quiz.html</t>
  </si>
  <si>
    <t xml:space="preserve">https://www.drdantegonzales.com/invisalign-quiz.php</t>
  </si>
  <si>
    <t xml:space="preserve">Invisalign Quiz | Dante Gonzales Orthodontics</t>
  </si>
  <si>
    <t xml:space="preserve">Impression Techniques</t>
  </si>
  <si>
    <t xml:space="preserve">impression-techniques-in-orthodontics.html</t>
  </si>
  <si>
    <t xml:space="preserve">https://www.drdantegonzales.com/impression-techniques-in-orthodontics.html</t>
  </si>
  <si>
    <t xml:space="preserve">https://www.drdantegonzales.com/impression-techniques-in-orthodontics.php</t>
  </si>
  <si>
    <t xml:space="preserve">Dental Care: Advanced Impression Tech with Dante Gonzales</t>
  </si>
  <si>
    <t xml:space="preserve">Blog Index</t>
  </si>
  <si>
    <t xml:space="preserve">blog.html</t>
  </si>
  <si>
    <t xml:space="preserve">https://www.drdantegonzales.com/blog.html</t>
  </si>
  <si>
    <t xml:space="preserve">https://www.drdantegonzales.com/blog.php</t>
  </si>
  <si>
    <t xml:space="preserve">Orthodontics Informational Blogs| Dante Gonzales</t>
  </si>
  <si>
    <t xml:space="preserve">Contact - Dublin Office</t>
  </si>
  <si>
    <t xml:space="preserve">dublin-ca-orthodontic-office-contact.html</t>
  </si>
  <si>
    <t xml:space="preserve">https://www.drdantegonzales.com/dublin-ca-orthodontic-office-contact.html</t>
  </si>
  <si>
    <t xml:space="preserve">https://www.drdantegonzales.com/dublin-ca-orthodontic-office-contact.php</t>
  </si>
  <si>
    <t xml:space="preserve">Contact Dublin Orthodontic Clinic ‒ Dante Gonzales</t>
  </si>
  <si>
    <t xml:space="preserve">Contact - Tracy Office</t>
  </si>
  <si>
    <t xml:space="preserve">tracy-ca-orthodontic-office-contact.html</t>
  </si>
  <si>
    <t xml:space="preserve">https://www.drdantegonzales.com/tracy-ca-orthodontic-office-contact.html</t>
  </si>
  <si>
    <t xml:space="preserve">https://www.drdantegonzales.com/tracy-ca-orthodontic-office-contact.php</t>
  </si>
  <si>
    <t xml:space="preserve">Contact Tracy CA Orthodontic – Dr. Gonzales</t>
  </si>
  <si>
    <t xml:space="preserve">404 Error Page</t>
  </si>
  <si>
    <t xml:space="preserve">System</t>
  </si>
  <si>
    <t xml:space="preserve">404.html</t>
  </si>
  <si>
    <t xml:space="preserve">https://www.drdantegonzales.com/404.html</t>
  </si>
  <si>
    <t xml:space="preserve">n/a</t>
  </si>
  <si>
    <t xml:space="preserve">Page Not Found (404) | Dante Gonzales Orthodontics</t>
  </si>
  <si>
    <t xml:space="preserve">New page - no old-site equivalent.</t>
  </si>
  <si>
    <t xml:space="preserve">Do Braces Create Gaps Between Front Teeth?</t>
  </si>
  <si>
    <t xml:space="preserve">Blog</t>
  </si>
  <si>
    <t xml:space="preserve">blog/braces-create-small-gap-between-front-teeth-is-it-normal.html</t>
  </si>
  <si>
    <t xml:space="preserve">https://www.drdantegonzales.com/blog/braces-create-small-gap-between-front-teeth-is-it-normal.html</t>
  </si>
  <si>
    <t xml:space="preserve">https://www.drdantegonzales.com/blog/braces-create-small-gap-between-front-teeth-is-it-normal.php</t>
  </si>
  <si>
    <t xml:space="preserve">Braces vs Invisalign: Which Is Right for You?</t>
  </si>
  <si>
    <t xml:space="preserve">blog/braces-vs-invisalign.html</t>
  </si>
  <si>
    <t xml:space="preserve">https://www.drdantegonzales.com/blog/braces-vs-invisalign.html</t>
  </si>
  <si>
    <t xml:space="preserve">https://www.drdantegonzales.com/blog/braces-vs-invisalign.php</t>
  </si>
  <si>
    <t xml:space="preserve">Do Braces Fix Overbite? Treatment Options Explained</t>
  </si>
  <si>
    <t xml:space="preserve">blog/can-braces-fix-an-overbite-permanently.html</t>
  </si>
  <si>
    <t xml:space="preserve">https://www.drdantegonzales.com/blog/can-braces-fix-an-overbite-permanently.html</t>
  </si>
  <si>
    <t xml:space="preserve">https://www.drdantegonzales.com/blog/can-braces-fix-an-overbite-permanently.php</t>
  </si>
  <si>
    <t xml:space="preserve">Can Invisalign Fix Gaps Between Front Teeth?</t>
  </si>
  <si>
    <t xml:space="preserve">blog/can-invisalign-fix-protruding-front-teeth.html</t>
  </si>
  <si>
    <t xml:space="preserve">https://www.drdantegonzales.com/blog/can-invisalign-fix-protruding-front-teeth.html</t>
  </si>
  <si>
    <t xml:space="preserve">https://www.drdantegonzales.com/blog/can-invisalign-fix-protruding-front-teeth.php</t>
  </si>
  <si>
    <t xml:space="preserve">Can Orthodontic Treatment Help Sleep Apnea? What You Need to Know?</t>
  </si>
  <si>
    <t xml:space="preserve">blog/can-orthodontic-treatment-help-sleep-apnea.html</t>
  </si>
  <si>
    <t xml:space="preserve">https://www.drdantegonzales.com/blog/can-orthodontic-treatment-help-sleep-apnea.html</t>
  </si>
  <si>
    <t xml:space="preserve">https://www.drdantegonzales.com/blog/can-orthodontic-treatment-help-sleep-apnea.php</t>
  </si>
  <si>
    <t xml:space="preserve">TMJ Ear Pain Relief with Dante Gonzales, Best Orthodontist</t>
  </si>
  <si>
    <t xml:space="preserve">blog/can-tmj-dysfuntion-cause-ear-pain.html</t>
  </si>
  <si>
    <t xml:space="preserve">https://www.drdantegonzales.com/blog/can-tmj-dysfuntion-cause-ear-pain.html</t>
  </si>
  <si>
    <t xml:space="preserve">https://www.drdantegonzales.com/blog/can-tmj-dysfuntion-cause-ear-pain.php</t>
  </si>
  <si>
    <t xml:space="preserve">Can You Chew Gum With Invisalign? What to Know</t>
  </si>
  <si>
    <t xml:space="preserve">blog/can-you-chew-gum-with-invisalign-without-affecting-your-treatment.html</t>
  </si>
  <si>
    <t xml:space="preserve">https://www.drdantegonzales.com/blog/can-you-chew-gum-with-invisalign-without-affecting-your-treatment.html</t>
  </si>
  <si>
    <t xml:space="preserve">https://www.drdantegonzales.com/blog/can-you-chew-gum-with-invisalign-without-affecting-your-treatment.php</t>
  </si>
  <si>
    <t xml:space="preserve">Can You Chew Gum With Invisalign? What Every Patient Should Know</t>
  </si>
  <si>
    <t xml:space="preserve">blog/can-you-chew-gum-with-invisalign.html</t>
  </si>
  <si>
    <t xml:space="preserve">https://www.drdantegonzales.com/blog/can-you-chew-gum-with-invisalign.html</t>
  </si>
  <si>
    <t xml:space="preserve">https://www.drdantegonzales.com/blog/can-you-chew-gum-with-invisalign.php</t>
  </si>
  <si>
    <t xml:space="preserve">Can You Drink With Invisalign? What Drinks Are Okay With Invisalign?</t>
  </si>
  <si>
    <t xml:space="preserve">blog/can-you-drink-with-invisalign.html</t>
  </si>
  <si>
    <t xml:space="preserve">https://www.drdantegonzales.com/blog/can-you-drink-with-invisalign.html</t>
  </si>
  <si>
    <t xml:space="preserve">https://www.drdantegonzales.com/blog/can-you-drink-with-invisalign.php</t>
  </si>
  <si>
    <t xml:space="preserve">Can You Eat With Invisalign? Foods, Rules &amp; Expert Tips</t>
  </si>
  <si>
    <t xml:space="preserve">blog/can-you-eat-with-invisalign.html</t>
  </si>
  <si>
    <t xml:space="preserve">https://www.drdantegonzales.com/blog/can-you-eat-with-invisalign.html</t>
  </si>
  <si>
    <t xml:space="preserve">https://www.drdantegonzales.com/blog/can-you-eat-with-invisalign.php</t>
  </si>
  <si>
    <t xml:space="preserve">Can You Get Braces with Missing Teeth? Here’s What Orthodontists Say</t>
  </si>
  <si>
    <t xml:space="preserve">blog/can-you-get-braces-with-missing-teeth-heres-what-orthodontists-say.html</t>
  </si>
  <si>
    <t xml:space="preserve">https://www.drdantegonzales.com/blog/can-you-get-braces-with-missing-teeth-heres-what-orthodontists-say.html</t>
  </si>
  <si>
    <t xml:space="preserve">https://www.drdantegonzales.com/blog/can-you-get-braces-with-missing-teeth-heres-what-orthodontists-say.php</t>
  </si>
  <si>
    <t xml:space="preserve">How to Straighten Teeth Without Braces</t>
  </si>
  <si>
    <t xml:space="preserve">blog/can-you-really-straighten-teeth-without-braces.html</t>
  </si>
  <si>
    <t xml:space="preserve">https://www.drdantegonzales.com/blog/can-you-really-straighten-teeth-without-braces.html</t>
  </si>
  <si>
    <t xml:space="preserve">https://www.drdantegonzales.com/blog/can-you-really-straighten-teeth-without-braces.php</t>
  </si>
  <si>
    <t xml:space="preserve">Crowded Teeth Before and After: Real Smile Results</t>
  </si>
  <si>
    <t xml:space="preserve">blog/crowded-teeth-before-and-after.html</t>
  </si>
  <si>
    <t xml:space="preserve">https://www.drdantegonzales.com/blog/crowded-teeth-before-and-after.html</t>
  </si>
  <si>
    <t xml:space="preserve">https://www.drdantegonzales.com/blog/crowded-teeth-before-and-after.php</t>
  </si>
  <si>
    <t xml:space="preserve">Do Braces or Invisalign Hurt More? Find Out</t>
  </si>
  <si>
    <t xml:space="preserve">blog/do-braces-hurt-how-long-the-pain-lasts-and-how-to-cope.html</t>
  </si>
  <si>
    <t xml:space="preserve">https://www.drdantegonzales.com/blog/do-braces-hurt-how-long-the-pain-lasts-and-how-to-cope.html</t>
  </si>
  <si>
    <t xml:space="preserve">https://www.drdantegonzales.com/blog/do-braces-hurt-how-long-the-pain-lasts-and-how-to-cope.php</t>
  </si>
  <si>
    <t xml:space="preserve">What Is an Underbite? Causes, Symptoms &amp; Treatment</t>
  </si>
  <si>
    <t xml:space="preserve">blog/do-braces-or-invisalign-hurt-what-to-expect-during-your-first-week.html</t>
  </si>
  <si>
    <t xml:space="preserve">https://www.drdantegonzales.com/blog/do-braces-or-invisalign-hurt-what-to-expect-during-your-first-week.html</t>
  </si>
  <si>
    <t xml:space="preserve">https://www.drdantegonzales.com/blog/do-braces-or-invisalign-hurt-what-to-expect-during-your-first-week.php</t>
  </si>
  <si>
    <t xml:space="preserve">Does Invisalign Hurt More Than Braces? Pain Comparison Explained</t>
  </si>
  <si>
    <t xml:space="preserve">blog/does-invisalign-hurt-more-than-braces.html</t>
  </si>
  <si>
    <t xml:space="preserve">https://www.drdantegonzales.com/blog/does-invisalign-hurt-more-than-braces.html</t>
  </si>
  <si>
    <t xml:space="preserve">https://www.drdantegonzales.com/blog/does-invisalign-hurt-more-than-braces.php</t>
  </si>
  <si>
    <t xml:space="preserve">Does Invisalign Hurt? Truth About Pain, Pressure &amp; Comfort</t>
  </si>
  <si>
    <t xml:space="preserve">blog/does-invisalign-hurt.html</t>
  </si>
  <si>
    <t xml:space="preserve">https://www.drdantegonzales.com/blog/does-invisalign-hurt.html</t>
  </si>
  <si>
    <t xml:space="preserve">https://www.drdantegonzales.com/blog/does-invisalign-hurt.php</t>
  </si>
  <si>
    <t xml:space="preserve">How Braces Can Correct Crooked Teeth: A Complete Guide</t>
  </si>
  <si>
    <t xml:space="preserve">blog/how-braces-can-correct-crooked-teeth-a-complete-guide.html</t>
  </si>
  <si>
    <t xml:space="preserve">https://www.drdantegonzales.com/blog/how-braces-can-correct-crooked-teeth-a-complete-guide.html</t>
  </si>
  <si>
    <t xml:space="preserve">https://www.drdantegonzales.com/blog/how-braces-can-correct-crooked-teeth-a-complete-guide.php</t>
  </si>
  <si>
    <t xml:space="preserve">How Braces Can Lead to White Marks and What You Can Do About It - Dr. Dante Gonzales Orthodontics</t>
  </si>
  <si>
    <t xml:space="preserve">blog/how-braces-can-lead-to-white-marks-and-what-you-can-do-about-it.html</t>
  </si>
  <si>
    <t xml:space="preserve">https://www.drdantegonzales.com/blog/how-braces-can-lead-to-white-marks-and-what-you-can-do-about-it.html</t>
  </si>
  <si>
    <t xml:space="preserve">https://www.drdantegonzales.com/blog/how-braces-can-lead-to-white-marks-and-what-you-can-do-about-it.php</t>
  </si>
  <si>
    <t xml:space="preserve">How to Brush Teeth with Braces by Dante Gonzales Dental Care</t>
  </si>
  <si>
    <t xml:space="preserve">blog/how-to-brush-teeth-with-braces.html</t>
  </si>
  <si>
    <t xml:space="preserve">https://www.drdantegonzales.com/blog/how-to-brush-teeth-with-braces.html</t>
  </si>
  <si>
    <t xml:space="preserve">https://www.drdantegonzales.com/blog/how-to-brush-teeth-with-braces.php</t>
  </si>
  <si>
    <t xml:space="preserve">How to Clean Invisalign Properly Without Damaging Your Aligners</t>
  </si>
  <si>
    <t xml:space="preserve">blog/how-to-clean-invisalign-properly.html</t>
  </si>
  <si>
    <t xml:space="preserve">https://www.drdantegonzales.com/blog/how-to-clean-invisalign-properly.html</t>
  </si>
  <si>
    <t xml:space="preserve">https://www.drdantegonzales.com/blog/how-to-clean-invisalign-properly.php</t>
  </si>
  <si>
    <t xml:space="preserve">How to Fix a Gap Between Teeth? Treatment Options Compared</t>
  </si>
  <si>
    <t xml:space="preserve">blog/how-to-fix-a-gap-between-teeth-treatment-options-compared.html</t>
  </si>
  <si>
    <t xml:space="preserve">https://www.drdantegonzales.com/blog/how-to-fix-a-gap-between-teeth-treatment-options-compared.html</t>
  </si>
  <si>
    <t xml:space="preserve">https://www.drdantegonzales.com/blog/how-to-fix-a-gap-between-teeth-treatment-options-compared.php</t>
  </si>
  <si>
    <t xml:space="preserve">Invisalign vs Braces: Which Is Better for Your Smile?</t>
  </si>
  <si>
    <t xml:space="preserve">blog/invisalign-vs-braces-choosing-the-right-option-for-your-smile.html</t>
  </si>
  <si>
    <t xml:space="preserve">https://www.drdantegonzales.com/blog/invisalign-vs-braces-choosing-the-right-option-for-your-smile.html</t>
  </si>
  <si>
    <t xml:space="preserve">https://www.drdantegonzales.com/blog/invisalign-vs-braces-choosing-the-right-option-for-your-smile.php</t>
  </si>
  <si>
    <t xml:space="preserve">Jaw Pain on One Side: Causes, Symptoms &amp; When to Seek Help</t>
  </si>
  <si>
    <t xml:space="preserve">blog/jaw-pain-on-one-side.html</t>
  </si>
  <si>
    <t xml:space="preserve">https://www.drdantegonzales.com/blog/jaw-pain-on-one-side.html</t>
  </si>
  <si>
    <t xml:space="preserve">https://www.drdantegonzales.com/blog/jaw-pain-on-one-side.php</t>
  </si>
  <si>
    <t xml:space="preserve">Overbite vs Underbite: Key Differences Explained</t>
  </si>
  <si>
    <t xml:space="preserve">blog/overbite-vs-underbite.html</t>
  </si>
  <si>
    <t xml:space="preserve">https://www.drdantegonzales.com/blog/overbite-vs-underbite.html</t>
  </si>
  <si>
    <t xml:space="preserve">https://www.drdantegonzales.com/blog/overbite-vs-underbite.php</t>
  </si>
  <si>
    <t xml:space="preserve">How to Fix Crowded Teeth: Best Treatment Options</t>
  </si>
  <si>
    <t xml:space="preserve">blog/the-best-solutions-on-how-to-fix-crowded-teeth-effectively.html</t>
  </si>
  <si>
    <t xml:space="preserve">https://www.drdantegonzales.com/blog/the-best-solutions-on-how-to-fix-crowded-teeth-effectively.html</t>
  </si>
  <si>
    <t xml:space="preserve">https://www.drdantegonzales.com/blog/the-best-solutions-on-how-to-fix-crowded-teeth-effectively.php</t>
  </si>
  <si>
    <t xml:space="preserve">The Best Techniques to Floss Teeth with Braces Effectively</t>
  </si>
  <si>
    <t xml:space="preserve">blog/the-best-techniques-to-floss-teeth-with-braces-effectively.html</t>
  </si>
  <si>
    <t xml:space="preserve">https://www.drdantegonzales.com/blog/the-best-techniques-to-floss-teeth-with-braces-effectively.html</t>
  </si>
  <si>
    <t xml:space="preserve">https://www.drdantegonzales.com/blog/the-best-techniques-to-floss-teeth-with-braces-effectively.php</t>
  </si>
  <si>
    <t xml:space="preserve">What Causes Crowded Teeth and How Dentists Fix Them? - Dr. Dante Gonzales Orthodontics</t>
  </si>
  <si>
    <t xml:space="preserve">blog/what-causes-crowded-teeth-and-how-dentists-fix-them.html</t>
  </si>
  <si>
    <t xml:space="preserve">https://www.drdantegonzales.com/blog/what-causes-crowded-teeth-and-how-dentists-fix-them.html</t>
  </si>
  <si>
    <t xml:space="preserve">https://www.drdantegonzales.com/blog/what-causes-crowded-teeth-and-how-dentists-fix-them.php</t>
  </si>
  <si>
    <t xml:space="preserve">What Is a Deep Bite? Causes, Symptoms &amp; Treatment</t>
  </si>
  <si>
    <t xml:space="preserve">blog/what-is-a-deep-bite.html</t>
  </si>
  <si>
    <t xml:space="preserve">https://www.drdantegonzales.com/blog/what-is-a-deep-bite.html</t>
  </si>
  <si>
    <t xml:space="preserve">https://www.drdantegonzales.com/blog/what-is-a-deep-bite.php</t>
  </si>
  <si>
    <t xml:space="preserve">What Is an Underbite? Dante Gonzales Answers</t>
  </si>
  <si>
    <t xml:space="preserve">blog/what-is-an-underbite.html</t>
  </si>
  <si>
    <t xml:space="preserve">https://www.drdantegonzales.com/blog/what-is-an-underbite.html</t>
  </si>
  <si>
    <t xml:space="preserve">https://www.drdantegonzales.com/blog/what-is-an-underbite.php</t>
  </si>
  <si>
    <t xml:space="preserve">Malocclusion of Teeth: Types, Symptoms &amp; Treatment Guide</t>
  </si>
  <si>
    <t xml:space="preserve">blog/what-is-malocclusion-of-teeth.html</t>
  </si>
  <si>
    <t xml:space="preserve">https://www.drdantegonzales.com/blog/what-is-malocclusion-of-teeth.html</t>
  </si>
  <si>
    <t xml:space="preserve">https://www.drdantegonzales.com/blog/what-is-malocclusion-of-teeth.php</t>
  </si>
  <si>
    <t xml:space="preserve">What Is Sleep Apnea Caused By? 7 Common Reasons You Should Know</t>
  </si>
  <si>
    <t xml:space="preserve">blog/what-is-sleep-apnea-caused-by.html</t>
  </si>
  <si>
    <t xml:space="preserve">https://www.drdantegonzales.com/blog/what-is-sleep-apnea-caused-by.html</t>
  </si>
  <si>
    <t xml:space="preserve">https://www.drdantegonzales.com/blog/what-is-sleep-apnea-caused-by.php</t>
  </si>
  <si>
    <t xml:space="preserve">Teeth Protrusion: Causes, Risks &amp; When to See a Dentist</t>
  </si>
  <si>
    <t xml:space="preserve">blog/what-is-teeth-protrusion.html</t>
  </si>
  <si>
    <t xml:space="preserve">https://www.drdantegonzales.com/blog/what-is-teeth-protrusion.html</t>
  </si>
  <si>
    <t xml:space="preserve">https://www.drdantegonzales.com/blog/what-is-teeth-protrusion.php</t>
  </si>
  <si>
    <t xml:space="preserve">Blog banner link 1 (old site)</t>
  </si>
  <si>
    <t xml:space="preserve">Old site only</t>
  </si>
  <si>
    <t xml:space="preserve">https://www.drdantegonzales.com/blog1.php</t>
  </si>
  <si>
    <t xml:space="preserve">Live on old site, NOT rebuilt. Decide: rebuild, redirect or retire.</t>
  </si>
  <si>
    <t xml:space="preserve">Blog banner link 2 (old site)</t>
  </si>
  <si>
    <t xml:space="preserve">https://www.drdantegonzales.com/blog2.php</t>
  </si>
  <si>
    <t xml:space="preserve">Blogs (old alternate URL)</t>
  </si>
  <si>
    <t xml:space="preserve">https://www.drdantegonzales.com/blogs.php</t>
  </si>
  <si>
    <t xml:space="preserve">TOTALS</t>
  </si>
  <si>
    <t xml:space="preserve">Rows tracked</t>
  </si>
  <si>
    <t xml:space="preserve">Pages built locally</t>
  </si>
  <si>
    <t xml:space="preserve">Old-site pages not yet rebuilt</t>
  </si>
  <si>
    <t xml:space="preserve">New build pages LIVE</t>
  </si>
  <si>
    <t xml:space="preserve">Built locally, awaiting upload</t>
  </si>
  <si>
    <t xml:space="preserve">Staged in Batch 1</t>
  </si>
  <si>
    <t xml:space="preserve">Blog posts built</t>
  </si>
  <si>
    <t xml:space="preserve">Main pages built</t>
  </si>
  <si>
    <t xml:space="preserve">Live status verified 26 Aug 2026 against https://www.drdantegonzales.com/ , /invisalign.html , /css/styles.css and the live sitemap.xml. All four still return the old PHP site, so no page of the new static build is serving yet. 'Old Page Live' = the legacy .php version of that URL is what visitors currently get.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</si>
</sst>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3F6FB"/>
      </patternFill>
    </fill>
    <fill>
      <patternFill patternType="solid">
        <fgColor rgb="FFF3F6FB"/>
        <bgColor rgb="FFFFFFFF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6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46"/>
    <col collapsed="false" customWidth="true" hidden="false" outlineLevel="0" max="5" min="5" style="0" width="58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58"/>
    <col collapsed="false" customWidth="true" hidden="false" outlineLevel="0" max="12" min="11" style="0" width="4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n">
        <v>1</v>
      </c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6" t="s">
        <v>17</v>
      </c>
      <c r="H2" s="5" t="s">
        <v>16</v>
      </c>
      <c r="I2" s="4" t="s">
        <v>18</v>
      </c>
      <c r="J2" s="4" t="s">
        <v>19</v>
      </c>
      <c r="K2" s="3" t="s">
        <v>20</v>
      </c>
      <c r="L2" s="3" t="s">
        <v>21</v>
      </c>
    </row>
    <row r="3" customFormat="false" ht="15" hidden="false" customHeight="false" outlineLevel="0" collapsed="false">
      <c r="A3" s="7" t="n">
        <v>2</v>
      </c>
      <c r="B3" s="8" t="s">
        <v>22</v>
      </c>
      <c r="C3" s="9" t="s">
        <v>13</v>
      </c>
      <c r="D3" s="9" t="s">
        <v>23</v>
      </c>
      <c r="E3" s="9" t="s">
        <v>24</v>
      </c>
      <c r="F3" s="5" t="s">
        <v>16</v>
      </c>
      <c r="G3" s="6" t="s">
        <v>17</v>
      </c>
      <c r="H3" s="5" t="s">
        <v>16</v>
      </c>
      <c r="I3" s="9" t="s">
        <v>25</v>
      </c>
      <c r="J3" s="9" t="s">
        <v>26</v>
      </c>
      <c r="K3" s="8" t="s">
        <v>27</v>
      </c>
      <c r="L3" s="8" t="s">
        <v>28</v>
      </c>
    </row>
    <row r="4" customFormat="false" ht="15" hidden="false" customHeight="false" outlineLevel="0" collapsed="false">
      <c r="A4" s="2" t="n">
        <v>3</v>
      </c>
      <c r="B4" s="3" t="s">
        <v>29</v>
      </c>
      <c r="C4" s="4" t="s">
        <v>13</v>
      </c>
      <c r="D4" s="4" t="s">
        <v>30</v>
      </c>
      <c r="E4" s="4" t="s">
        <v>31</v>
      </c>
      <c r="F4" s="5" t="s">
        <v>16</v>
      </c>
      <c r="G4" s="6" t="s">
        <v>17</v>
      </c>
      <c r="H4" s="5" t="s">
        <v>16</v>
      </c>
      <c r="I4" s="4" t="s">
        <v>18</v>
      </c>
      <c r="J4" s="4" t="s">
        <v>32</v>
      </c>
      <c r="K4" s="3" t="s">
        <v>33</v>
      </c>
      <c r="L4" s="3" t="s">
        <v>21</v>
      </c>
    </row>
    <row r="5" customFormat="false" ht="15" hidden="false" customHeight="false" outlineLevel="0" collapsed="false">
      <c r="A5" s="7" t="n">
        <v>4</v>
      </c>
      <c r="B5" s="8" t="s">
        <v>34</v>
      </c>
      <c r="C5" s="9" t="s">
        <v>13</v>
      </c>
      <c r="D5" s="9" t="s">
        <v>35</v>
      </c>
      <c r="E5" s="9" t="s">
        <v>36</v>
      </c>
      <c r="F5" s="5" t="s">
        <v>16</v>
      </c>
      <c r="G5" s="6" t="s">
        <v>17</v>
      </c>
      <c r="H5" s="5" t="s">
        <v>16</v>
      </c>
      <c r="I5" s="9" t="s">
        <v>25</v>
      </c>
      <c r="J5" s="9" t="s">
        <v>37</v>
      </c>
      <c r="K5" s="8" t="s">
        <v>38</v>
      </c>
      <c r="L5" s="8" t="s">
        <v>28</v>
      </c>
    </row>
    <row r="6" customFormat="false" ht="15" hidden="false" customHeight="false" outlineLevel="0" collapsed="false">
      <c r="A6" s="2" t="n">
        <v>5</v>
      </c>
      <c r="B6" s="3" t="s">
        <v>39</v>
      </c>
      <c r="C6" s="4" t="s">
        <v>13</v>
      </c>
      <c r="D6" s="4" t="s">
        <v>40</v>
      </c>
      <c r="E6" s="4" t="s">
        <v>41</v>
      </c>
      <c r="F6" s="5" t="s">
        <v>16</v>
      </c>
      <c r="G6" s="6" t="s">
        <v>17</v>
      </c>
      <c r="H6" s="5" t="s">
        <v>16</v>
      </c>
      <c r="I6" s="4" t="s">
        <v>25</v>
      </c>
      <c r="J6" s="4" t="s">
        <v>42</v>
      </c>
      <c r="K6" s="3" t="s">
        <v>43</v>
      </c>
      <c r="L6" s="3" t="s">
        <v>28</v>
      </c>
    </row>
    <row r="7" customFormat="false" ht="15" hidden="false" customHeight="false" outlineLevel="0" collapsed="false">
      <c r="A7" s="7" t="n">
        <v>6</v>
      </c>
      <c r="B7" s="8" t="s">
        <v>44</v>
      </c>
      <c r="C7" s="9" t="s">
        <v>13</v>
      </c>
      <c r="D7" s="9" t="s">
        <v>45</v>
      </c>
      <c r="E7" s="9" t="s">
        <v>46</v>
      </c>
      <c r="F7" s="5" t="s">
        <v>16</v>
      </c>
      <c r="G7" s="6" t="s">
        <v>17</v>
      </c>
      <c r="H7" s="5" t="s">
        <v>16</v>
      </c>
      <c r="I7" s="9" t="s">
        <v>25</v>
      </c>
      <c r="J7" s="9" t="s">
        <v>47</v>
      </c>
      <c r="K7" s="8" t="s">
        <v>48</v>
      </c>
      <c r="L7" s="8" t="s">
        <v>28</v>
      </c>
    </row>
    <row r="8" customFormat="false" ht="23.85" hidden="false" customHeight="false" outlineLevel="0" collapsed="false">
      <c r="A8" s="2" t="n">
        <v>7</v>
      </c>
      <c r="B8" s="3" t="s">
        <v>49</v>
      </c>
      <c r="C8" s="4" t="s">
        <v>13</v>
      </c>
      <c r="D8" s="4" t="s">
        <v>50</v>
      </c>
      <c r="E8" s="4" t="s">
        <v>51</v>
      </c>
      <c r="F8" s="5" t="s">
        <v>16</v>
      </c>
      <c r="G8" s="6" t="s">
        <v>17</v>
      </c>
      <c r="H8" s="5" t="s">
        <v>16</v>
      </c>
      <c r="I8" s="4" t="s">
        <v>25</v>
      </c>
      <c r="J8" s="4" t="s">
        <v>52</v>
      </c>
      <c r="K8" s="3" t="s">
        <v>53</v>
      </c>
      <c r="L8" s="3" t="s">
        <v>28</v>
      </c>
    </row>
    <row r="9" customFormat="false" ht="23.85" hidden="false" customHeight="false" outlineLevel="0" collapsed="false">
      <c r="A9" s="7" t="n">
        <v>8</v>
      </c>
      <c r="B9" s="8" t="s">
        <v>54</v>
      </c>
      <c r="C9" s="9" t="s">
        <v>13</v>
      </c>
      <c r="D9" s="9" t="s">
        <v>55</v>
      </c>
      <c r="E9" s="9" t="s">
        <v>56</v>
      </c>
      <c r="F9" s="5" t="s">
        <v>16</v>
      </c>
      <c r="G9" s="6" t="s">
        <v>17</v>
      </c>
      <c r="H9" s="5" t="s">
        <v>16</v>
      </c>
      <c r="I9" s="9" t="s">
        <v>18</v>
      </c>
      <c r="J9" s="9" t="s">
        <v>57</v>
      </c>
      <c r="K9" s="8" t="s">
        <v>58</v>
      </c>
      <c r="L9" s="8" t="s">
        <v>21</v>
      </c>
    </row>
    <row r="10" customFormat="false" ht="23.85" hidden="false" customHeight="false" outlineLevel="0" collapsed="false">
      <c r="A10" s="2" t="n">
        <v>9</v>
      </c>
      <c r="B10" s="3" t="s">
        <v>59</v>
      </c>
      <c r="C10" s="4" t="s">
        <v>13</v>
      </c>
      <c r="D10" s="4" t="s">
        <v>60</v>
      </c>
      <c r="E10" s="4" t="s">
        <v>61</v>
      </c>
      <c r="F10" s="5" t="s">
        <v>16</v>
      </c>
      <c r="G10" s="6" t="s">
        <v>17</v>
      </c>
      <c r="H10" s="5" t="s">
        <v>16</v>
      </c>
      <c r="I10" s="4" t="s">
        <v>25</v>
      </c>
      <c r="J10" s="4" t="s">
        <v>62</v>
      </c>
      <c r="K10" s="3" t="s">
        <v>58</v>
      </c>
      <c r="L10" s="3" t="s">
        <v>28</v>
      </c>
    </row>
    <row r="11" customFormat="false" ht="23.85" hidden="false" customHeight="false" outlineLevel="0" collapsed="false">
      <c r="A11" s="7" t="n">
        <v>10</v>
      </c>
      <c r="B11" s="8" t="s">
        <v>63</v>
      </c>
      <c r="C11" s="9" t="s">
        <v>13</v>
      </c>
      <c r="D11" s="9" t="s">
        <v>64</v>
      </c>
      <c r="E11" s="9" t="s">
        <v>65</v>
      </c>
      <c r="F11" s="5" t="s">
        <v>16</v>
      </c>
      <c r="G11" s="6" t="s">
        <v>17</v>
      </c>
      <c r="H11" s="5" t="s">
        <v>16</v>
      </c>
      <c r="I11" s="9" t="s">
        <v>18</v>
      </c>
      <c r="J11" s="9" t="s">
        <v>66</v>
      </c>
      <c r="K11" s="8" t="s">
        <v>67</v>
      </c>
      <c r="L11" s="8" t="s">
        <v>21</v>
      </c>
    </row>
    <row r="12" customFormat="false" ht="15" hidden="false" customHeight="false" outlineLevel="0" collapsed="false">
      <c r="A12" s="2" t="n">
        <v>11</v>
      </c>
      <c r="B12" s="3" t="s">
        <v>68</v>
      </c>
      <c r="C12" s="4" t="s">
        <v>13</v>
      </c>
      <c r="D12" s="4" t="s">
        <v>69</v>
      </c>
      <c r="E12" s="4" t="s">
        <v>70</v>
      </c>
      <c r="F12" s="5" t="s">
        <v>16</v>
      </c>
      <c r="G12" s="6" t="s">
        <v>17</v>
      </c>
      <c r="H12" s="5" t="s">
        <v>16</v>
      </c>
      <c r="I12" s="4" t="s">
        <v>25</v>
      </c>
      <c r="J12" s="4" t="s">
        <v>71</v>
      </c>
      <c r="K12" s="3" t="s">
        <v>72</v>
      </c>
      <c r="L12" s="3" t="s">
        <v>28</v>
      </c>
    </row>
    <row r="13" customFormat="false" ht="23.85" hidden="false" customHeight="false" outlineLevel="0" collapsed="false">
      <c r="A13" s="7" t="n">
        <v>12</v>
      </c>
      <c r="B13" s="8" t="s">
        <v>73</v>
      </c>
      <c r="C13" s="9" t="s">
        <v>13</v>
      </c>
      <c r="D13" s="9" t="s">
        <v>74</v>
      </c>
      <c r="E13" s="9" t="s">
        <v>75</v>
      </c>
      <c r="F13" s="5" t="s">
        <v>16</v>
      </c>
      <c r="G13" s="6" t="s">
        <v>17</v>
      </c>
      <c r="H13" s="5" t="s">
        <v>16</v>
      </c>
      <c r="I13" s="9" t="s">
        <v>25</v>
      </c>
      <c r="J13" s="9" t="s">
        <v>76</v>
      </c>
      <c r="K13" s="8" t="s">
        <v>77</v>
      </c>
      <c r="L13" s="8" t="s">
        <v>28</v>
      </c>
    </row>
    <row r="14" customFormat="false" ht="23.85" hidden="false" customHeight="false" outlineLevel="0" collapsed="false">
      <c r="A14" s="2" t="n">
        <v>13</v>
      </c>
      <c r="B14" s="3" t="s">
        <v>78</v>
      </c>
      <c r="C14" s="4" t="s">
        <v>13</v>
      </c>
      <c r="D14" s="4" t="s">
        <v>79</v>
      </c>
      <c r="E14" s="4" t="s">
        <v>80</v>
      </c>
      <c r="F14" s="5" t="s">
        <v>16</v>
      </c>
      <c r="G14" s="6" t="s">
        <v>17</v>
      </c>
      <c r="H14" s="5" t="s">
        <v>16</v>
      </c>
      <c r="I14" s="4" t="s">
        <v>25</v>
      </c>
      <c r="J14" s="4" t="s">
        <v>81</v>
      </c>
      <c r="K14" s="3" t="s">
        <v>82</v>
      </c>
      <c r="L14" s="3" t="s">
        <v>28</v>
      </c>
    </row>
    <row r="15" customFormat="false" ht="15" hidden="false" customHeight="false" outlineLevel="0" collapsed="false">
      <c r="A15" s="7" t="n">
        <v>14</v>
      </c>
      <c r="B15" s="8" t="s">
        <v>83</v>
      </c>
      <c r="C15" s="9" t="s">
        <v>13</v>
      </c>
      <c r="D15" s="9" t="s">
        <v>84</v>
      </c>
      <c r="E15" s="9" t="s">
        <v>85</v>
      </c>
      <c r="F15" s="5" t="s">
        <v>16</v>
      </c>
      <c r="G15" s="6" t="s">
        <v>17</v>
      </c>
      <c r="H15" s="5" t="s">
        <v>16</v>
      </c>
      <c r="I15" s="9" t="s">
        <v>25</v>
      </c>
      <c r="J15" s="9" t="s">
        <v>86</v>
      </c>
      <c r="K15" s="8" t="s">
        <v>87</v>
      </c>
      <c r="L15" s="8" t="s">
        <v>28</v>
      </c>
    </row>
    <row r="16" customFormat="false" ht="23.85" hidden="false" customHeight="false" outlineLevel="0" collapsed="false">
      <c r="A16" s="2" t="n">
        <v>15</v>
      </c>
      <c r="B16" s="3" t="s">
        <v>88</v>
      </c>
      <c r="C16" s="4" t="s">
        <v>13</v>
      </c>
      <c r="D16" s="4" t="s">
        <v>89</v>
      </c>
      <c r="E16" s="4" t="s">
        <v>90</v>
      </c>
      <c r="F16" s="5" t="s">
        <v>16</v>
      </c>
      <c r="G16" s="6" t="s">
        <v>17</v>
      </c>
      <c r="H16" s="5" t="s">
        <v>16</v>
      </c>
      <c r="I16" s="4" t="s">
        <v>25</v>
      </c>
      <c r="J16" s="4" t="s">
        <v>91</v>
      </c>
      <c r="K16" s="3" t="s">
        <v>92</v>
      </c>
      <c r="L16" s="3" t="s">
        <v>28</v>
      </c>
    </row>
    <row r="17" customFormat="false" ht="15" hidden="false" customHeight="false" outlineLevel="0" collapsed="false">
      <c r="A17" s="7" t="n">
        <v>16</v>
      </c>
      <c r="B17" s="8" t="s">
        <v>93</v>
      </c>
      <c r="C17" s="9" t="s">
        <v>13</v>
      </c>
      <c r="D17" s="9" t="s">
        <v>94</v>
      </c>
      <c r="E17" s="9" t="s">
        <v>95</v>
      </c>
      <c r="F17" s="5" t="s">
        <v>16</v>
      </c>
      <c r="G17" s="6" t="s">
        <v>17</v>
      </c>
      <c r="H17" s="5" t="s">
        <v>16</v>
      </c>
      <c r="I17" s="9" t="s">
        <v>25</v>
      </c>
      <c r="J17" s="9" t="s">
        <v>96</v>
      </c>
      <c r="K17" s="8" t="s">
        <v>97</v>
      </c>
      <c r="L17" s="8" t="s">
        <v>28</v>
      </c>
    </row>
    <row r="18" customFormat="false" ht="15" hidden="false" customHeight="false" outlineLevel="0" collapsed="false">
      <c r="A18" s="2" t="n">
        <v>17</v>
      </c>
      <c r="B18" s="3" t="s">
        <v>98</v>
      </c>
      <c r="C18" s="4" t="s">
        <v>13</v>
      </c>
      <c r="D18" s="4" t="s">
        <v>99</v>
      </c>
      <c r="E18" s="4" t="s">
        <v>100</v>
      </c>
      <c r="F18" s="5" t="s">
        <v>16</v>
      </c>
      <c r="G18" s="6" t="s">
        <v>17</v>
      </c>
      <c r="H18" s="5" t="s">
        <v>16</v>
      </c>
      <c r="I18" s="4" t="s">
        <v>25</v>
      </c>
      <c r="J18" s="4" t="s">
        <v>101</v>
      </c>
      <c r="K18" s="3" t="s">
        <v>102</v>
      </c>
      <c r="L18" s="3" t="s">
        <v>28</v>
      </c>
    </row>
    <row r="19" customFormat="false" ht="15" hidden="false" customHeight="false" outlineLevel="0" collapsed="false">
      <c r="A19" s="7" t="n">
        <v>18</v>
      </c>
      <c r="B19" s="8" t="s">
        <v>103</v>
      </c>
      <c r="C19" s="9" t="s">
        <v>13</v>
      </c>
      <c r="D19" s="9" t="s">
        <v>104</v>
      </c>
      <c r="E19" s="9" t="s">
        <v>105</v>
      </c>
      <c r="F19" s="5" t="s">
        <v>16</v>
      </c>
      <c r="G19" s="6" t="s">
        <v>17</v>
      </c>
      <c r="H19" s="5" t="s">
        <v>16</v>
      </c>
      <c r="I19" s="9" t="s">
        <v>25</v>
      </c>
      <c r="J19" s="9" t="s">
        <v>106</v>
      </c>
      <c r="K19" s="8" t="s">
        <v>107</v>
      </c>
      <c r="L19" s="8" t="s">
        <v>28</v>
      </c>
    </row>
    <row r="20" customFormat="false" ht="15" hidden="false" customHeight="false" outlineLevel="0" collapsed="false">
      <c r="A20" s="2" t="n">
        <v>19</v>
      </c>
      <c r="B20" s="3" t="s">
        <v>108</v>
      </c>
      <c r="C20" s="4" t="s">
        <v>13</v>
      </c>
      <c r="D20" s="4" t="s">
        <v>109</v>
      </c>
      <c r="E20" s="4" t="s">
        <v>110</v>
      </c>
      <c r="F20" s="5" t="s">
        <v>16</v>
      </c>
      <c r="G20" s="6" t="s">
        <v>17</v>
      </c>
      <c r="H20" s="5" t="s">
        <v>16</v>
      </c>
      <c r="I20" s="4" t="s">
        <v>25</v>
      </c>
      <c r="J20" s="4" t="s">
        <v>111</v>
      </c>
      <c r="K20" s="3" t="s">
        <v>112</v>
      </c>
      <c r="L20" s="3" t="s">
        <v>28</v>
      </c>
    </row>
    <row r="21" customFormat="false" ht="23.85" hidden="false" customHeight="false" outlineLevel="0" collapsed="false">
      <c r="A21" s="7" t="n">
        <v>20</v>
      </c>
      <c r="B21" s="8" t="s">
        <v>113</v>
      </c>
      <c r="C21" s="9" t="s">
        <v>13</v>
      </c>
      <c r="D21" s="9" t="s">
        <v>114</v>
      </c>
      <c r="E21" s="9" t="s">
        <v>115</v>
      </c>
      <c r="F21" s="5" t="s">
        <v>16</v>
      </c>
      <c r="G21" s="6" t="s">
        <v>17</v>
      </c>
      <c r="H21" s="5" t="s">
        <v>16</v>
      </c>
      <c r="I21" s="9" t="s">
        <v>25</v>
      </c>
      <c r="J21" s="9" t="s">
        <v>116</v>
      </c>
      <c r="K21" s="8" t="s">
        <v>117</v>
      </c>
      <c r="L21" s="8" t="s">
        <v>28</v>
      </c>
    </row>
    <row r="22" customFormat="false" ht="15" hidden="false" customHeight="false" outlineLevel="0" collapsed="false">
      <c r="A22" s="2" t="n">
        <v>21</v>
      </c>
      <c r="B22" s="3" t="s">
        <v>118</v>
      </c>
      <c r="C22" s="4" t="s">
        <v>13</v>
      </c>
      <c r="D22" s="4" t="s">
        <v>119</v>
      </c>
      <c r="E22" s="4" t="s">
        <v>120</v>
      </c>
      <c r="F22" s="5" t="s">
        <v>16</v>
      </c>
      <c r="G22" s="6" t="s">
        <v>17</v>
      </c>
      <c r="H22" s="5" t="s">
        <v>16</v>
      </c>
      <c r="I22" s="4" t="s">
        <v>25</v>
      </c>
      <c r="J22" s="4" t="s">
        <v>121</v>
      </c>
      <c r="K22" s="3" t="s">
        <v>122</v>
      </c>
      <c r="L22" s="3" t="s">
        <v>28</v>
      </c>
    </row>
    <row r="23" customFormat="false" ht="23.85" hidden="false" customHeight="false" outlineLevel="0" collapsed="false">
      <c r="A23" s="7" t="n">
        <v>22</v>
      </c>
      <c r="B23" s="8" t="s">
        <v>123</v>
      </c>
      <c r="C23" s="9" t="s">
        <v>13</v>
      </c>
      <c r="D23" s="9" t="s">
        <v>124</v>
      </c>
      <c r="E23" s="9" t="s">
        <v>125</v>
      </c>
      <c r="F23" s="5" t="s">
        <v>16</v>
      </c>
      <c r="G23" s="6" t="s">
        <v>17</v>
      </c>
      <c r="H23" s="5" t="s">
        <v>16</v>
      </c>
      <c r="I23" s="9" t="s">
        <v>25</v>
      </c>
      <c r="J23" s="9" t="s">
        <v>126</v>
      </c>
      <c r="K23" s="8" t="s">
        <v>127</v>
      </c>
      <c r="L23" s="8" t="s">
        <v>28</v>
      </c>
    </row>
    <row r="24" customFormat="false" ht="15" hidden="false" customHeight="false" outlineLevel="0" collapsed="false">
      <c r="A24" s="2" t="n">
        <v>23</v>
      </c>
      <c r="B24" s="3" t="s">
        <v>128</v>
      </c>
      <c r="C24" s="4" t="s">
        <v>13</v>
      </c>
      <c r="D24" s="4" t="s">
        <v>129</v>
      </c>
      <c r="E24" s="4" t="s">
        <v>130</v>
      </c>
      <c r="F24" s="5" t="s">
        <v>16</v>
      </c>
      <c r="G24" s="6" t="s">
        <v>17</v>
      </c>
      <c r="H24" s="5" t="s">
        <v>16</v>
      </c>
      <c r="I24" s="4" t="s">
        <v>25</v>
      </c>
      <c r="J24" s="4" t="s">
        <v>131</v>
      </c>
      <c r="K24" s="3" t="s">
        <v>132</v>
      </c>
      <c r="L24" s="3" t="s">
        <v>28</v>
      </c>
    </row>
    <row r="25" customFormat="false" ht="15" hidden="false" customHeight="false" outlineLevel="0" collapsed="false">
      <c r="A25" s="7" t="n">
        <v>24</v>
      </c>
      <c r="B25" s="8" t="s">
        <v>133</v>
      </c>
      <c r="C25" s="9" t="s">
        <v>13</v>
      </c>
      <c r="D25" s="9" t="s">
        <v>134</v>
      </c>
      <c r="E25" s="9" t="s">
        <v>135</v>
      </c>
      <c r="F25" s="5" t="s">
        <v>16</v>
      </c>
      <c r="G25" s="6" t="s">
        <v>17</v>
      </c>
      <c r="H25" s="5" t="s">
        <v>16</v>
      </c>
      <c r="I25" s="9" t="s">
        <v>18</v>
      </c>
      <c r="J25" s="9" t="s">
        <v>136</v>
      </c>
      <c r="K25" s="8" t="s">
        <v>137</v>
      </c>
      <c r="L25" s="8" t="s">
        <v>21</v>
      </c>
    </row>
    <row r="26" customFormat="false" ht="15" hidden="false" customHeight="false" outlineLevel="0" collapsed="false">
      <c r="A26" s="2" t="n">
        <v>25</v>
      </c>
      <c r="B26" s="3" t="s">
        <v>138</v>
      </c>
      <c r="C26" s="4" t="s">
        <v>13</v>
      </c>
      <c r="D26" s="4" t="s">
        <v>139</v>
      </c>
      <c r="E26" s="4" t="s">
        <v>140</v>
      </c>
      <c r="F26" s="5" t="s">
        <v>16</v>
      </c>
      <c r="G26" s="6" t="s">
        <v>17</v>
      </c>
      <c r="H26" s="5" t="s">
        <v>16</v>
      </c>
      <c r="I26" s="4" t="s">
        <v>25</v>
      </c>
      <c r="J26" s="4" t="s">
        <v>141</v>
      </c>
      <c r="K26" s="3" t="s">
        <v>142</v>
      </c>
      <c r="L26" s="3" t="s">
        <v>28</v>
      </c>
    </row>
    <row r="27" customFormat="false" ht="15" hidden="false" customHeight="false" outlineLevel="0" collapsed="false">
      <c r="A27" s="7" t="n">
        <v>26</v>
      </c>
      <c r="B27" s="8" t="s">
        <v>143</v>
      </c>
      <c r="C27" s="9" t="s">
        <v>144</v>
      </c>
      <c r="D27" s="9" t="s">
        <v>145</v>
      </c>
      <c r="E27" s="9" t="s">
        <v>146</v>
      </c>
      <c r="F27" s="5" t="s">
        <v>16</v>
      </c>
      <c r="G27" s="6" t="s">
        <v>17</v>
      </c>
      <c r="H27" s="6" t="s">
        <v>17</v>
      </c>
      <c r="I27" s="9" t="s">
        <v>147</v>
      </c>
      <c r="J27" s="9"/>
      <c r="K27" s="8" t="s">
        <v>148</v>
      </c>
      <c r="L27" s="8" t="s">
        <v>149</v>
      </c>
    </row>
    <row r="28" customFormat="false" ht="23.85" hidden="false" customHeight="false" outlineLevel="0" collapsed="false">
      <c r="A28" s="2" t="n">
        <v>27</v>
      </c>
      <c r="B28" s="3" t="s">
        <v>150</v>
      </c>
      <c r="C28" s="4" t="s">
        <v>151</v>
      </c>
      <c r="D28" s="4" t="s">
        <v>152</v>
      </c>
      <c r="E28" s="4" t="s">
        <v>153</v>
      </c>
      <c r="F28" s="5" t="s">
        <v>16</v>
      </c>
      <c r="G28" s="6" t="s">
        <v>17</v>
      </c>
      <c r="H28" s="5" t="s">
        <v>16</v>
      </c>
      <c r="I28" s="4" t="s">
        <v>25</v>
      </c>
      <c r="J28" s="4" t="s">
        <v>154</v>
      </c>
      <c r="K28" s="3" t="s">
        <v>150</v>
      </c>
      <c r="L28" s="3" t="s">
        <v>28</v>
      </c>
    </row>
    <row r="29" customFormat="false" ht="23.85" hidden="false" customHeight="false" outlineLevel="0" collapsed="false">
      <c r="A29" s="7" t="n">
        <v>28</v>
      </c>
      <c r="B29" s="8" t="s">
        <v>155</v>
      </c>
      <c r="C29" s="9" t="s">
        <v>151</v>
      </c>
      <c r="D29" s="9" t="s">
        <v>156</v>
      </c>
      <c r="E29" s="9" t="s">
        <v>157</v>
      </c>
      <c r="F29" s="5" t="s">
        <v>16</v>
      </c>
      <c r="G29" s="6" t="s">
        <v>17</v>
      </c>
      <c r="H29" s="5" t="s">
        <v>16</v>
      </c>
      <c r="I29" s="9" t="s">
        <v>25</v>
      </c>
      <c r="J29" s="9" t="s">
        <v>158</v>
      </c>
      <c r="K29" s="8" t="s">
        <v>155</v>
      </c>
      <c r="L29" s="8" t="s">
        <v>28</v>
      </c>
    </row>
    <row r="30" customFormat="false" ht="23.85" hidden="false" customHeight="false" outlineLevel="0" collapsed="false">
      <c r="A30" s="2" t="n">
        <v>29</v>
      </c>
      <c r="B30" s="3" t="s">
        <v>159</v>
      </c>
      <c r="C30" s="4" t="s">
        <v>151</v>
      </c>
      <c r="D30" s="4" t="s">
        <v>160</v>
      </c>
      <c r="E30" s="4" t="s">
        <v>161</v>
      </c>
      <c r="F30" s="5" t="s">
        <v>16</v>
      </c>
      <c r="G30" s="6" t="s">
        <v>17</v>
      </c>
      <c r="H30" s="5" t="s">
        <v>16</v>
      </c>
      <c r="I30" s="4" t="s">
        <v>25</v>
      </c>
      <c r="J30" s="4" t="s">
        <v>162</v>
      </c>
      <c r="K30" s="3" t="s">
        <v>159</v>
      </c>
      <c r="L30" s="3" t="s">
        <v>28</v>
      </c>
    </row>
    <row r="31" customFormat="false" ht="23.85" hidden="false" customHeight="false" outlineLevel="0" collapsed="false">
      <c r="A31" s="7" t="n">
        <v>30</v>
      </c>
      <c r="B31" s="8" t="s">
        <v>163</v>
      </c>
      <c r="C31" s="9" t="s">
        <v>151</v>
      </c>
      <c r="D31" s="9" t="s">
        <v>164</v>
      </c>
      <c r="E31" s="9" t="s">
        <v>165</v>
      </c>
      <c r="F31" s="5" t="s">
        <v>16</v>
      </c>
      <c r="G31" s="6" t="s">
        <v>17</v>
      </c>
      <c r="H31" s="5" t="s">
        <v>16</v>
      </c>
      <c r="I31" s="9" t="s">
        <v>25</v>
      </c>
      <c r="J31" s="9" t="s">
        <v>166</v>
      </c>
      <c r="K31" s="8" t="s">
        <v>163</v>
      </c>
      <c r="L31" s="8" t="s">
        <v>28</v>
      </c>
    </row>
    <row r="32" customFormat="false" ht="23.85" hidden="false" customHeight="false" outlineLevel="0" collapsed="false">
      <c r="A32" s="2" t="n">
        <v>31</v>
      </c>
      <c r="B32" s="3" t="s">
        <v>167</v>
      </c>
      <c r="C32" s="4" t="s">
        <v>151</v>
      </c>
      <c r="D32" s="4" t="s">
        <v>168</v>
      </c>
      <c r="E32" s="4" t="s">
        <v>169</v>
      </c>
      <c r="F32" s="5" t="s">
        <v>16</v>
      </c>
      <c r="G32" s="6" t="s">
        <v>17</v>
      </c>
      <c r="H32" s="5" t="s">
        <v>16</v>
      </c>
      <c r="I32" s="4" t="s">
        <v>25</v>
      </c>
      <c r="J32" s="4" t="s">
        <v>170</v>
      </c>
      <c r="K32" s="3" t="s">
        <v>167</v>
      </c>
      <c r="L32" s="3" t="s">
        <v>28</v>
      </c>
    </row>
    <row r="33" customFormat="false" ht="23.85" hidden="false" customHeight="false" outlineLevel="0" collapsed="false">
      <c r="A33" s="7" t="n">
        <v>32</v>
      </c>
      <c r="B33" s="8" t="s">
        <v>171</v>
      </c>
      <c r="C33" s="9" t="s">
        <v>151</v>
      </c>
      <c r="D33" s="9" t="s">
        <v>172</v>
      </c>
      <c r="E33" s="9" t="s">
        <v>173</v>
      </c>
      <c r="F33" s="5" t="s">
        <v>16</v>
      </c>
      <c r="G33" s="6" t="s">
        <v>17</v>
      </c>
      <c r="H33" s="5" t="s">
        <v>16</v>
      </c>
      <c r="I33" s="9" t="s">
        <v>25</v>
      </c>
      <c r="J33" s="9" t="s">
        <v>174</v>
      </c>
      <c r="K33" s="8" t="s">
        <v>171</v>
      </c>
      <c r="L33" s="8" t="s">
        <v>28</v>
      </c>
    </row>
    <row r="34" customFormat="false" ht="23.85" hidden="false" customHeight="false" outlineLevel="0" collapsed="false">
      <c r="A34" s="2" t="n">
        <v>33</v>
      </c>
      <c r="B34" s="3" t="s">
        <v>175</v>
      </c>
      <c r="C34" s="4" t="s">
        <v>151</v>
      </c>
      <c r="D34" s="4" t="s">
        <v>176</v>
      </c>
      <c r="E34" s="4" t="s">
        <v>177</v>
      </c>
      <c r="F34" s="5" t="s">
        <v>16</v>
      </c>
      <c r="G34" s="6" t="s">
        <v>17</v>
      </c>
      <c r="H34" s="5" t="s">
        <v>16</v>
      </c>
      <c r="I34" s="4" t="s">
        <v>25</v>
      </c>
      <c r="J34" s="4" t="s">
        <v>178</v>
      </c>
      <c r="K34" s="3" t="s">
        <v>175</v>
      </c>
      <c r="L34" s="3" t="s">
        <v>28</v>
      </c>
    </row>
    <row r="35" customFormat="false" ht="23.85" hidden="false" customHeight="false" outlineLevel="0" collapsed="false">
      <c r="A35" s="7" t="n">
        <v>34</v>
      </c>
      <c r="B35" s="8" t="s">
        <v>179</v>
      </c>
      <c r="C35" s="9" t="s">
        <v>151</v>
      </c>
      <c r="D35" s="9" t="s">
        <v>180</v>
      </c>
      <c r="E35" s="9" t="s">
        <v>181</v>
      </c>
      <c r="F35" s="5" t="s">
        <v>16</v>
      </c>
      <c r="G35" s="6" t="s">
        <v>17</v>
      </c>
      <c r="H35" s="5" t="s">
        <v>16</v>
      </c>
      <c r="I35" s="9" t="s">
        <v>25</v>
      </c>
      <c r="J35" s="9" t="s">
        <v>182</v>
      </c>
      <c r="K35" s="8" t="s">
        <v>179</v>
      </c>
      <c r="L35" s="8" t="s">
        <v>28</v>
      </c>
    </row>
    <row r="36" customFormat="false" ht="23.85" hidden="false" customHeight="false" outlineLevel="0" collapsed="false">
      <c r="A36" s="2" t="n">
        <v>35</v>
      </c>
      <c r="B36" s="3" t="s">
        <v>183</v>
      </c>
      <c r="C36" s="4" t="s">
        <v>151</v>
      </c>
      <c r="D36" s="4" t="s">
        <v>184</v>
      </c>
      <c r="E36" s="4" t="s">
        <v>185</v>
      </c>
      <c r="F36" s="5" t="s">
        <v>16</v>
      </c>
      <c r="G36" s="6" t="s">
        <v>17</v>
      </c>
      <c r="H36" s="5" t="s">
        <v>16</v>
      </c>
      <c r="I36" s="4" t="s">
        <v>25</v>
      </c>
      <c r="J36" s="4" t="s">
        <v>186</v>
      </c>
      <c r="K36" s="3" t="s">
        <v>183</v>
      </c>
      <c r="L36" s="3" t="s">
        <v>28</v>
      </c>
    </row>
    <row r="37" customFormat="false" ht="23.85" hidden="false" customHeight="false" outlineLevel="0" collapsed="false">
      <c r="A37" s="7" t="n">
        <v>36</v>
      </c>
      <c r="B37" s="8" t="s">
        <v>187</v>
      </c>
      <c r="C37" s="9" t="s">
        <v>151</v>
      </c>
      <c r="D37" s="9" t="s">
        <v>188</v>
      </c>
      <c r="E37" s="9" t="s">
        <v>189</v>
      </c>
      <c r="F37" s="5" t="s">
        <v>16</v>
      </c>
      <c r="G37" s="6" t="s">
        <v>17</v>
      </c>
      <c r="H37" s="5" t="s">
        <v>16</v>
      </c>
      <c r="I37" s="9" t="s">
        <v>25</v>
      </c>
      <c r="J37" s="9" t="s">
        <v>190</v>
      </c>
      <c r="K37" s="8" t="s">
        <v>187</v>
      </c>
      <c r="L37" s="8" t="s">
        <v>28</v>
      </c>
    </row>
    <row r="38" customFormat="false" ht="23.85" hidden="false" customHeight="false" outlineLevel="0" collapsed="false">
      <c r="A38" s="2" t="n">
        <v>37</v>
      </c>
      <c r="B38" s="3" t="s">
        <v>191</v>
      </c>
      <c r="C38" s="4" t="s">
        <v>151</v>
      </c>
      <c r="D38" s="4" t="s">
        <v>192</v>
      </c>
      <c r="E38" s="4" t="s">
        <v>193</v>
      </c>
      <c r="F38" s="5" t="s">
        <v>16</v>
      </c>
      <c r="G38" s="6" t="s">
        <v>17</v>
      </c>
      <c r="H38" s="5" t="s">
        <v>16</v>
      </c>
      <c r="I38" s="4" t="s">
        <v>25</v>
      </c>
      <c r="J38" s="4" t="s">
        <v>194</v>
      </c>
      <c r="K38" s="3" t="s">
        <v>191</v>
      </c>
      <c r="L38" s="3" t="s">
        <v>28</v>
      </c>
    </row>
    <row r="39" customFormat="false" ht="15" hidden="false" customHeight="false" outlineLevel="0" collapsed="false">
      <c r="A39" s="7" t="n">
        <v>38</v>
      </c>
      <c r="B39" s="8" t="s">
        <v>195</v>
      </c>
      <c r="C39" s="9" t="s">
        <v>151</v>
      </c>
      <c r="D39" s="9" t="s">
        <v>196</v>
      </c>
      <c r="E39" s="9" t="s">
        <v>197</v>
      </c>
      <c r="F39" s="5" t="s">
        <v>16</v>
      </c>
      <c r="G39" s="6" t="s">
        <v>17</v>
      </c>
      <c r="H39" s="5" t="s">
        <v>16</v>
      </c>
      <c r="I39" s="9" t="s">
        <v>25</v>
      </c>
      <c r="J39" s="9" t="s">
        <v>198</v>
      </c>
      <c r="K39" s="8" t="s">
        <v>195</v>
      </c>
      <c r="L39" s="8" t="s">
        <v>28</v>
      </c>
    </row>
    <row r="40" customFormat="false" ht="23.85" hidden="false" customHeight="false" outlineLevel="0" collapsed="false">
      <c r="A40" s="2" t="n">
        <v>39</v>
      </c>
      <c r="B40" s="3" t="s">
        <v>199</v>
      </c>
      <c r="C40" s="4" t="s">
        <v>151</v>
      </c>
      <c r="D40" s="4" t="s">
        <v>200</v>
      </c>
      <c r="E40" s="4" t="s">
        <v>201</v>
      </c>
      <c r="F40" s="5" t="s">
        <v>16</v>
      </c>
      <c r="G40" s="6" t="s">
        <v>17</v>
      </c>
      <c r="H40" s="5" t="s">
        <v>16</v>
      </c>
      <c r="I40" s="4" t="s">
        <v>25</v>
      </c>
      <c r="J40" s="4" t="s">
        <v>202</v>
      </c>
      <c r="K40" s="3" t="s">
        <v>199</v>
      </c>
      <c r="L40" s="3" t="s">
        <v>28</v>
      </c>
    </row>
    <row r="41" customFormat="false" ht="23.85" hidden="false" customHeight="false" outlineLevel="0" collapsed="false">
      <c r="A41" s="7" t="n">
        <v>40</v>
      </c>
      <c r="B41" s="8" t="s">
        <v>203</v>
      </c>
      <c r="C41" s="9" t="s">
        <v>151</v>
      </c>
      <c r="D41" s="9" t="s">
        <v>204</v>
      </c>
      <c r="E41" s="9" t="s">
        <v>205</v>
      </c>
      <c r="F41" s="5" t="s">
        <v>16</v>
      </c>
      <c r="G41" s="6" t="s">
        <v>17</v>
      </c>
      <c r="H41" s="5" t="s">
        <v>16</v>
      </c>
      <c r="I41" s="9" t="s">
        <v>25</v>
      </c>
      <c r="J41" s="9" t="s">
        <v>206</v>
      </c>
      <c r="K41" s="8" t="s">
        <v>203</v>
      </c>
      <c r="L41" s="8" t="s">
        <v>28</v>
      </c>
    </row>
    <row r="42" customFormat="false" ht="23.85" hidden="false" customHeight="false" outlineLevel="0" collapsed="false">
      <c r="A42" s="2" t="n">
        <v>41</v>
      </c>
      <c r="B42" s="3" t="s">
        <v>207</v>
      </c>
      <c r="C42" s="4" t="s">
        <v>151</v>
      </c>
      <c r="D42" s="4" t="s">
        <v>208</v>
      </c>
      <c r="E42" s="4" t="s">
        <v>209</v>
      </c>
      <c r="F42" s="5" t="s">
        <v>16</v>
      </c>
      <c r="G42" s="6" t="s">
        <v>17</v>
      </c>
      <c r="H42" s="5" t="s">
        <v>16</v>
      </c>
      <c r="I42" s="4" t="s">
        <v>25</v>
      </c>
      <c r="J42" s="4" t="s">
        <v>210</v>
      </c>
      <c r="K42" s="3" t="s">
        <v>207</v>
      </c>
      <c r="L42" s="3" t="s">
        <v>28</v>
      </c>
    </row>
    <row r="43" customFormat="false" ht="23.85" hidden="false" customHeight="false" outlineLevel="0" collapsed="false">
      <c r="A43" s="7" t="n">
        <v>42</v>
      </c>
      <c r="B43" s="8" t="s">
        <v>211</v>
      </c>
      <c r="C43" s="9" t="s">
        <v>151</v>
      </c>
      <c r="D43" s="9" t="s">
        <v>212</v>
      </c>
      <c r="E43" s="9" t="s">
        <v>213</v>
      </c>
      <c r="F43" s="5" t="s">
        <v>16</v>
      </c>
      <c r="G43" s="6" t="s">
        <v>17</v>
      </c>
      <c r="H43" s="5" t="s">
        <v>16</v>
      </c>
      <c r="I43" s="9" t="s">
        <v>25</v>
      </c>
      <c r="J43" s="9" t="s">
        <v>214</v>
      </c>
      <c r="K43" s="8" t="s">
        <v>211</v>
      </c>
      <c r="L43" s="8" t="s">
        <v>28</v>
      </c>
    </row>
    <row r="44" customFormat="false" ht="23.85" hidden="false" customHeight="false" outlineLevel="0" collapsed="false">
      <c r="A44" s="2" t="n">
        <v>43</v>
      </c>
      <c r="B44" s="3" t="s">
        <v>215</v>
      </c>
      <c r="C44" s="4" t="s">
        <v>151</v>
      </c>
      <c r="D44" s="4" t="s">
        <v>216</v>
      </c>
      <c r="E44" s="4" t="s">
        <v>217</v>
      </c>
      <c r="F44" s="5" t="s">
        <v>16</v>
      </c>
      <c r="G44" s="6" t="s">
        <v>17</v>
      </c>
      <c r="H44" s="5" t="s">
        <v>16</v>
      </c>
      <c r="I44" s="4" t="s">
        <v>25</v>
      </c>
      <c r="J44" s="4" t="s">
        <v>218</v>
      </c>
      <c r="K44" s="3" t="s">
        <v>215</v>
      </c>
      <c r="L44" s="3" t="s">
        <v>28</v>
      </c>
    </row>
    <row r="45" customFormat="false" ht="23.85" hidden="false" customHeight="false" outlineLevel="0" collapsed="false">
      <c r="A45" s="7" t="n">
        <v>44</v>
      </c>
      <c r="B45" s="8" t="s">
        <v>219</v>
      </c>
      <c r="C45" s="9" t="s">
        <v>151</v>
      </c>
      <c r="D45" s="9" t="s">
        <v>220</v>
      </c>
      <c r="E45" s="9" t="s">
        <v>221</v>
      </c>
      <c r="F45" s="5" t="s">
        <v>16</v>
      </c>
      <c r="G45" s="6" t="s">
        <v>17</v>
      </c>
      <c r="H45" s="5" t="s">
        <v>16</v>
      </c>
      <c r="I45" s="9" t="s">
        <v>25</v>
      </c>
      <c r="J45" s="9" t="s">
        <v>222</v>
      </c>
      <c r="K45" s="8" t="s">
        <v>219</v>
      </c>
      <c r="L45" s="8" t="s">
        <v>28</v>
      </c>
    </row>
    <row r="46" customFormat="false" ht="35.05" hidden="false" customHeight="false" outlineLevel="0" collapsed="false">
      <c r="A46" s="2" t="n">
        <v>45</v>
      </c>
      <c r="B46" s="3" t="s">
        <v>223</v>
      </c>
      <c r="C46" s="4" t="s">
        <v>151</v>
      </c>
      <c r="D46" s="4" t="s">
        <v>224</v>
      </c>
      <c r="E46" s="4" t="s">
        <v>225</v>
      </c>
      <c r="F46" s="5" t="s">
        <v>16</v>
      </c>
      <c r="G46" s="6" t="s">
        <v>17</v>
      </c>
      <c r="H46" s="5" t="s">
        <v>16</v>
      </c>
      <c r="I46" s="4" t="s">
        <v>25</v>
      </c>
      <c r="J46" s="4" t="s">
        <v>226</v>
      </c>
      <c r="K46" s="3" t="s">
        <v>223</v>
      </c>
      <c r="L46" s="3" t="s">
        <v>28</v>
      </c>
    </row>
    <row r="47" customFormat="false" ht="23.85" hidden="false" customHeight="false" outlineLevel="0" collapsed="false">
      <c r="A47" s="7" t="n">
        <v>46</v>
      </c>
      <c r="B47" s="8" t="s">
        <v>227</v>
      </c>
      <c r="C47" s="9" t="s">
        <v>151</v>
      </c>
      <c r="D47" s="9" t="s">
        <v>228</v>
      </c>
      <c r="E47" s="9" t="s">
        <v>229</v>
      </c>
      <c r="F47" s="5" t="s">
        <v>16</v>
      </c>
      <c r="G47" s="6" t="s">
        <v>17</v>
      </c>
      <c r="H47" s="5" t="s">
        <v>16</v>
      </c>
      <c r="I47" s="9" t="s">
        <v>25</v>
      </c>
      <c r="J47" s="9" t="s">
        <v>230</v>
      </c>
      <c r="K47" s="8" t="s">
        <v>227</v>
      </c>
      <c r="L47" s="8" t="s">
        <v>28</v>
      </c>
    </row>
    <row r="48" customFormat="false" ht="23.85" hidden="false" customHeight="false" outlineLevel="0" collapsed="false">
      <c r="A48" s="2" t="n">
        <v>47</v>
      </c>
      <c r="B48" s="3" t="s">
        <v>231</v>
      </c>
      <c r="C48" s="4" t="s">
        <v>151</v>
      </c>
      <c r="D48" s="4" t="s">
        <v>232</v>
      </c>
      <c r="E48" s="4" t="s">
        <v>233</v>
      </c>
      <c r="F48" s="5" t="s">
        <v>16</v>
      </c>
      <c r="G48" s="6" t="s">
        <v>17</v>
      </c>
      <c r="H48" s="5" t="s">
        <v>16</v>
      </c>
      <c r="I48" s="4" t="s">
        <v>25</v>
      </c>
      <c r="J48" s="4" t="s">
        <v>234</v>
      </c>
      <c r="K48" s="3" t="s">
        <v>231</v>
      </c>
      <c r="L48" s="3" t="s">
        <v>28</v>
      </c>
    </row>
    <row r="49" customFormat="false" ht="23.85" hidden="false" customHeight="false" outlineLevel="0" collapsed="false">
      <c r="A49" s="7" t="n">
        <v>48</v>
      </c>
      <c r="B49" s="8" t="s">
        <v>235</v>
      </c>
      <c r="C49" s="9" t="s">
        <v>151</v>
      </c>
      <c r="D49" s="9" t="s">
        <v>236</v>
      </c>
      <c r="E49" s="9" t="s">
        <v>237</v>
      </c>
      <c r="F49" s="5" t="s">
        <v>16</v>
      </c>
      <c r="G49" s="6" t="s">
        <v>17</v>
      </c>
      <c r="H49" s="5" t="s">
        <v>16</v>
      </c>
      <c r="I49" s="9" t="s">
        <v>25</v>
      </c>
      <c r="J49" s="9" t="s">
        <v>238</v>
      </c>
      <c r="K49" s="8" t="s">
        <v>235</v>
      </c>
      <c r="L49" s="8" t="s">
        <v>28</v>
      </c>
    </row>
    <row r="50" customFormat="false" ht="23.85" hidden="false" customHeight="false" outlineLevel="0" collapsed="false">
      <c r="A50" s="2" t="n">
        <v>49</v>
      </c>
      <c r="B50" s="3" t="s">
        <v>239</v>
      </c>
      <c r="C50" s="4" t="s">
        <v>151</v>
      </c>
      <c r="D50" s="4" t="s">
        <v>240</v>
      </c>
      <c r="E50" s="4" t="s">
        <v>241</v>
      </c>
      <c r="F50" s="5" t="s">
        <v>16</v>
      </c>
      <c r="G50" s="6" t="s">
        <v>17</v>
      </c>
      <c r="H50" s="5" t="s">
        <v>16</v>
      </c>
      <c r="I50" s="4" t="s">
        <v>25</v>
      </c>
      <c r="J50" s="4" t="s">
        <v>242</v>
      </c>
      <c r="K50" s="3" t="s">
        <v>239</v>
      </c>
      <c r="L50" s="3" t="s">
        <v>28</v>
      </c>
    </row>
    <row r="51" customFormat="false" ht="23.85" hidden="false" customHeight="false" outlineLevel="0" collapsed="false">
      <c r="A51" s="7" t="n">
        <v>50</v>
      </c>
      <c r="B51" s="8" t="s">
        <v>243</v>
      </c>
      <c r="C51" s="9" t="s">
        <v>151</v>
      </c>
      <c r="D51" s="9" t="s">
        <v>244</v>
      </c>
      <c r="E51" s="9" t="s">
        <v>245</v>
      </c>
      <c r="F51" s="5" t="s">
        <v>16</v>
      </c>
      <c r="G51" s="6" t="s">
        <v>17</v>
      </c>
      <c r="H51" s="5" t="s">
        <v>16</v>
      </c>
      <c r="I51" s="9" t="s">
        <v>25</v>
      </c>
      <c r="J51" s="9" t="s">
        <v>246</v>
      </c>
      <c r="K51" s="8" t="s">
        <v>243</v>
      </c>
      <c r="L51" s="8" t="s">
        <v>28</v>
      </c>
    </row>
    <row r="52" customFormat="false" ht="23.85" hidden="false" customHeight="false" outlineLevel="0" collapsed="false">
      <c r="A52" s="2" t="n">
        <v>51</v>
      </c>
      <c r="B52" s="3" t="s">
        <v>247</v>
      </c>
      <c r="C52" s="4" t="s">
        <v>151</v>
      </c>
      <c r="D52" s="4" t="s">
        <v>248</v>
      </c>
      <c r="E52" s="4" t="s">
        <v>249</v>
      </c>
      <c r="F52" s="5" t="s">
        <v>16</v>
      </c>
      <c r="G52" s="6" t="s">
        <v>17</v>
      </c>
      <c r="H52" s="5" t="s">
        <v>16</v>
      </c>
      <c r="I52" s="4" t="s">
        <v>25</v>
      </c>
      <c r="J52" s="4" t="s">
        <v>250</v>
      </c>
      <c r="K52" s="3" t="s">
        <v>247</v>
      </c>
      <c r="L52" s="3" t="s">
        <v>28</v>
      </c>
    </row>
    <row r="53" customFormat="false" ht="23.85" hidden="false" customHeight="false" outlineLevel="0" collapsed="false">
      <c r="A53" s="7" t="n">
        <v>52</v>
      </c>
      <c r="B53" s="8" t="s">
        <v>251</v>
      </c>
      <c r="C53" s="9" t="s">
        <v>151</v>
      </c>
      <c r="D53" s="9" t="s">
        <v>252</v>
      </c>
      <c r="E53" s="9" t="s">
        <v>253</v>
      </c>
      <c r="F53" s="5" t="s">
        <v>16</v>
      </c>
      <c r="G53" s="6" t="s">
        <v>17</v>
      </c>
      <c r="H53" s="5" t="s">
        <v>16</v>
      </c>
      <c r="I53" s="9" t="s">
        <v>25</v>
      </c>
      <c r="J53" s="9" t="s">
        <v>254</v>
      </c>
      <c r="K53" s="8" t="s">
        <v>251</v>
      </c>
      <c r="L53" s="8" t="s">
        <v>28</v>
      </c>
    </row>
    <row r="54" customFormat="false" ht="23.85" hidden="false" customHeight="false" outlineLevel="0" collapsed="false">
      <c r="A54" s="2" t="n">
        <v>53</v>
      </c>
      <c r="B54" s="3" t="s">
        <v>255</v>
      </c>
      <c r="C54" s="4" t="s">
        <v>151</v>
      </c>
      <c r="D54" s="4" t="s">
        <v>256</v>
      </c>
      <c r="E54" s="4" t="s">
        <v>257</v>
      </c>
      <c r="F54" s="5" t="s">
        <v>16</v>
      </c>
      <c r="G54" s="6" t="s">
        <v>17</v>
      </c>
      <c r="H54" s="5" t="s">
        <v>16</v>
      </c>
      <c r="I54" s="4" t="s">
        <v>25</v>
      </c>
      <c r="J54" s="4" t="s">
        <v>258</v>
      </c>
      <c r="K54" s="3" t="s">
        <v>255</v>
      </c>
      <c r="L54" s="3" t="s">
        <v>28</v>
      </c>
    </row>
    <row r="55" customFormat="false" ht="35.05" hidden="false" customHeight="false" outlineLevel="0" collapsed="false">
      <c r="A55" s="7" t="n">
        <v>54</v>
      </c>
      <c r="B55" s="8" t="s">
        <v>259</v>
      </c>
      <c r="C55" s="9" t="s">
        <v>151</v>
      </c>
      <c r="D55" s="9" t="s">
        <v>260</v>
      </c>
      <c r="E55" s="9" t="s">
        <v>261</v>
      </c>
      <c r="F55" s="5" t="s">
        <v>16</v>
      </c>
      <c r="G55" s="6" t="s">
        <v>17</v>
      </c>
      <c r="H55" s="5" t="s">
        <v>16</v>
      </c>
      <c r="I55" s="9" t="s">
        <v>25</v>
      </c>
      <c r="J55" s="9" t="s">
        <v>262</v>
      </c>
      <c r="K55" s="8" t="s">
        <v>259</v>
      </c>
      <c r="L55" s="8" t="s">
        <v>28</v>
      </c>
    </row>
    <row r="56" customFormat="false" ht="23.85" hidden="false" customHeight="false" outlineLevel="0" collapsed="false">
      <c r="A56" s="2" t="n">
        <v>55</v>
      </c>
      <c r="B56" s="3" t="s">
        <v>263</v>
      </c>
      <c r="C56" s="4" t="s">
        <v>151</v>
      </c>
      <c r="D56" s="4" t="s">
        <v>264</v>
      </c>
      <c r="E56" s="4" t="s">
        <v>265</v>
      </c>
      <c r="F56" s="5" t="s">
        <v>16</v>
      </c>
      <c r="G56" s="6" t="s">
        <v>17</v>
      </c>
      <c r="H56" s="5" t="s">
        <v>16</v>
      </c>
      <c r="I56" s="4" t="s">
        <v>25</v>
      </c>
      <c r="J56" s="4" t="s">
        <v>266</v>
      </c>
      <c r="K56" s="3" t="s">
        <v>263</v>
      </c>
      <c r="L56" s="3" t="s">
        <v>28</v>
      </c>
    </row>
    <row r="57" customFormat="false" ht="23.85" hidden="false" customHeight="false" outlineLevel="0" collapsed="false">
      <c r="A57" s="7" t="n">
        <v>56</v>
      </c>
      <c r="B57" s="8" t="s">
        <v>267</v>
      </c>
      <c r="C57" s="9" t="s">
        <v>151</v>
      </c>
      <c r="D57" s="9" t="s">
        <v>268</v>
      </c>
      <c r="E57" s="9" t="s">
        <v>269</v>
      </c>
      <c r="F57" s="5" t="s">
        <v>16</v>
      </c>
      <c r="G57" s="6" t="s">
        <v>17</v>
      </c>
      <c r="H57" s="5" t="s">
        <v>16</v>
      </c>
      <c r="I57" s="9" t="s">
        <v>25</v>
      </c>
      <c r="J57" s="9" t="s">
        <v>270</v>
      </c>
      <c r="K57" s="8" t="s">
        <v>267</v>
      </c>
      <c r="L57" s="8" t="s">
        <v>28</v>
      </c>
    </row>
    <row r="58" customFormat="false" ht="23.85" hidden="false" customHeight="false" outlineLevel="0" collapsed="false">
      <c r="A58" s="2" t="n">
        <v>57</v>
      </c>
      <c r="B58" s="3" t="s">
        <v>271</v>
      </c>
      <c r="C58" s="4" t="s">
        <v>151</v>
      </c>
      <c r="D58" s="4" t="s">
        <v>272</v>
      </c>
      <c r="E58" s="4" t="s">
        <v>273</v>
      </c>
      <c r="F58" s="5" t="s">
        <v>16</v>
      </c>
      <c r="G58" s="6" t="s">
        <v>17</v>
      </c>
      <c r="H58" s="5" t="s">
        <v>16</v>
      </c>
      <c r="I58" s="4" t="s">
        <v>25</v>
      </c>
      <c r="J58" s="4" t="s">
        <v>274</v>
      </c>
      <c r="K58" s="3" t="s">
        <v>271</v>
      </c>
      <c r="L58" s="3" t="s">
        <v>28</v>
      </c>
    </row>
    <row r="59" customFormat="false" ht="23.85" hidden="false" customHeight="false" outlineLevel="0" collapsed="false">
      <c r="A59" s="7" t="n">
        <v>58</v>
      </c>
      <c r="B59" s="8" t="s">
        <v>275</v>
      </c>
      <c r="C59" s="9" t="s">
        <v>151</v>
      </c>
      <c r="D59" s="9" t="s">
        <v>276</v>
      </c>
      <c r="E59" s="9" t="s">
        <v>277</v>
      </c>
      <c r="F59" s="5" t="s">
        <v>16</v>
      </c>
      <c r="G59" s="6" t="s">
        <v>17</v>
      </c>
      <c r="H59" s="5" t="s">
        <v>16</v>
      </c>
      <c r="I59" s="9" t="s">
        <v>25</v>
      </c>
      <c r="J59" s="9" t="s">
        <v>278</v>
      </c>
      <c r="K59" s="8" t="s">
        <v>275</v>
      </c>
      <c r="L59" s="8" t="s">
        <v>28</v>
      </c>
    </row>
    <row r="60" customFormat="false" ht="23.85" hidden="false" customHeight="false" outlineLevel="0" collapsed="false">
      <c r="A60" s="2" t="n">
        <v>59</v>
      </c>
      <c r="B60" s="3" t="s">
        <v>279</v>
      </c>
      <c r="C60" s="4" t="s">
        <v>151</v>
      </c>
      <c r="D60" s="4" t="s">
        <v>280</v>
      </c>
      <c r="E60" s="4" t="s">
        <v>281</v>
      </c>
      <c r="F60" s="5" t="s">
        <v>16</v>
      </c>
      <c r="G60" s="6" t="s">
        <v>17</v>
      </c>
      <c r="H60" s="5" t="s">
        <v>16</v>
      </c>
      <c r="I60" s="4" t="s">
        <v>25</v>
      </c>
      <c r="J60" s="4" t="s">
        <v>282</v>
      </c>
      <c r="K60" s="3" t="s">
        <v>279</v>
      </c>
      <c r="L60" s="3" t="s">
        <v>28</v>
      </c>
    </row>
    <row r="61" customFormat="false" ht="23.85" hidden="false" customHeight="false" outlineLevel="0" collapsed="false">
      <c r="A61" s="10" t="n">
        <v>60</v>
      </c>
      <c r="B61" s="11" t="s">
        <v>283</v>
      </c>
      <c r="C61" s="12" t="s">
        <v>284</v>
      </c>
      <c r="D61" s="12"/>
      <c r="E61" s="12"/>
      <c r="F61" s="10" t="s">
        <v>17</v>
      </c>
      <c r="G61" s="6" t="s">
        <v>17</v>
      </c>
      <c r="H61" s="5" t="s">
        <v>16</v>
      </c>
      <c r="I61" s="12" t="s">
        <v>25</v>
      </c>
      <c r="J61" s="12" t="s">
        <v>285</v>
      </c>
      <c r="K61" s="11"/>
      <c r="L61" s="11" t="s">
        <v>286</v>
      </c>
    </row>
    <row r="62" customFormat="false" ht="23.85" hidden="false" customHeight="false" outlineLevel="0" collapsed="false">
      <c r="A62" s="10" t="n">
        <v>61</v>
      </c>
      <c r="B62" s="11" t="s">
        <v>287</v>
      </c>
      <c r="C62" s="12" t="s">
        <v>284</v>
      </c>
      <c r="D62" s="12"/>
      <c r="E62" s="12"/>
      <c r="F62" s="10" t="s">
        <v>17</v>
      </c>
      <c r="G62" s="6" t="s">
        <v>17</v>
      </c>
      <c r="H62" s="5" t="s">
        <v>16</v>
      </c>
      <c r="I62" s="12" t="s">
        <v>25</v>
      </c>
      <c r="J62" s="12" t="s">
        <v>288</v>
      </c>
      <c r="K62" s="11"/>
      <c r="L62" s="11" t="s">
        <v>286</v>
      </c>
    </row>
    <row r="63" customFormat="false" ht="23.85" hidden="false" customHeight="false" outlineLevel="0" collapsed="false">
      <c r="A63" s="10" t="n">
        <v>62</v>
      </c>
      <c r="B63" s="11" t="s">
        <v>289</v>
      </c>
      <c r="C63" s="12" t="s">
        <v>284</v>
      </c>
      <c r="D63" s="12"/>
      <c r="E63" s="12"/>
      <c r="F63" s="10" t="s">
        <v>17</v>
      </c>
      <c r="G63" s="6" t="s">
        <v>17</v>
      </c>
      <c r="H63" s="5" t="s">
        <v>16</v>
      </c>
      <c r="I63" s="12" t="s">
        <v>25</v>
      </c>
      <c r="J63" s="12" t="s">
        <v>290</v>
      </c>
      <c r="K63" s="11"/>
      <c r="L63" s="11" t="s">
        <v>286</v>
      </c>
    </row>
    <row r="65" customFormat="false" ht="15" hidden="false" customHeight="false" outlineLevel="0" collapsed="false">
      <c r="B65" s="13" t="s">
        <v>291</v>
      </c>
    </row>
    <row r="66" customFormat="false" ht="15" hidden="false" customHeight="false" outlineLevel="0" collapsed="false">
      <c r="B66" s="14" t="s">
        <v>292</v>
      </c>
      <c r="C66" s="15" t="n">
        <f aca="false">COUNTA(B2:B63)</f>
        <v>62</v>
      </c>
    </row>
    <row r="67" customFormat="false" ht="15" hidden="false" customHeight="false" outlineLevel="0" collapsed="false">
      <c r="B67" s="14" t="s">
        <v>293</v>
      </c>
      <c r="C67" s="15" t="n">
        <f aca="false">COUNTIF(F2:F63,"Yes")</f>
        <v>59</v>
      </c>
    </row>
    <row r="68" customFormat="false" ht="15" hidden="false" customHeight="false" outlineLevel="0" collapsed="false">
      <c r="B68" s="14" t="s">
        <v>294</v>
      </c>
      <c r="C68" s="15" t="n">
        <f aca="false">COUNTIF(F2:F63,"No")</f>
        <v>3</v>
      </c>
    </row>
    <row r="69" customFormat="false" ht="15" hidden="false" customHeight="false" outlineLevel="0" collapsed="false">
      <c r="B69" s="14" t="s">
        <v>295</v>
      </c>
      <c r="C69" s="15" t="n">
        <f aca="false">COUNTIF(G2:G63,"Yes")</f>
        <v>0</v>
      </c>
    </row>
    <row r="70" customFormat="false" ht="15" hidden="false" customHeight="false" outlineLevel="0" collapsed="false">
      <c r="B70" s="14" t="s">
        <v>296</v>
      </c>
      <c r="C70" s="15" t="n">
        <f aca="false">COUNTIFS(F2:F63,"Yes",G2:G63,"No")</f>
        <v>59</v>
      </c>
    </row>
    <row r="71" customFormat="false" ht="15" hidden="false" customHeight="false" outlineLevel="0" collapsed="false">
      <c r="B71" s="14" t="s">
        <v>297</v>
      </c>
      <c r="C71" s="15" t="n">
        <f aca="false">COUNTIF(I2:I63,"Batch 1")</f>
        <v>5</v>
      </c>
    </row>
    <row r="72" customFormat="false" ht="15" hidden="false" customHeight="false" outlineLevel="0" collapsed="false">
      <c r="B72" s="14" t="s">
        <v>298</v>
      </c>
      <c r="C72" s="15" t="n">
        <f aca="false">COUNTIFS(C2:C63,"Blog",F2:F63,"Yes")</f>
        <v>33</v>
      </c>
    </row>
    <row r="73" customFormat="false" ht="15" hidden="false" customHeight="false" outlineLevel="0" collapsed="false">
      <c r="B73" s="14" t="s">
        <v>299</v>
      </c>
      <c r="C73" s="15" t="n">
        <f aca="false">COUNTIFS(C2:C63,"Main",F2:F63,"Yes")</f>
        <v>25</v>
      </c>
    </row>
    <row r="75" customFormat="false" ht="15" hidden="false" customHeight="true" outlineLevel="0" collapsed="false">
      <c r="B75" s="16" t="s">
        <v>300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 customFormat="false" ht="15" hidden="false" customHeight="false" outlineLevel="0" collapsed="false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 customFormat="false" ht="15" hidden="false" customHeight="false" outlineLevel="0" collapsed="false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</row>
  </sheetData>
  <autoFilter ref="A1:L63"/>
  <mergeCells count="1">
    <mergeCell ref="B75:L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2026-08-26T13:48:47Z</dcterms:created>
  <dc:creator>openpyxl</dc:creator>
  <dc:description/>
  <dc:language>en-US</dc:language>
  <cp:lastModifiedBy/>
  <dcterms:modified xsi:type="dcterms:W3CDTF">2026-08-26T13:48:47Z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